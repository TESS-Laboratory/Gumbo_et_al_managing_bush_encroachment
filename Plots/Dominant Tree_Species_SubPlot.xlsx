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92CF85C1-50E5-42C8-8968-4ABDC9AFBF44}" xr6:coauthVersionLast="47" xr6:coauthVersionMax="47" xr10:uidLastSave="{00000000-0000-0000-0000-000000000000}"/>
  <bookViews>
    <workbookView xWindow="0" yWindow="0" windowWidth="19200" windowHeight="10200" activeTab="1" xr2:uid="{00000000-000D-0000-FFFF-FFFF00000000}"/>
  </bookViews>
  <sheets>
    <sheet name="Sheet 1" sheetId="1" r:id="rId1"/>
    <sheet name="% absent" sheetId="2" r:id="rId2"/>
    <sheet name="No. of DC per subplot" sheetId="3" r:id="rId3"/>
    <sheet name="past" sheetId="5" r:id="rId4"/>
    <sheet name="example" sheetId="4" r:id="rId5"/>
  </sheets>
  <definedNames>
    <definedName name="_xlnm._FilterDatabase" localSheetId="0" hidden="1">'Sheet 1'!$B$1:$C$121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29" i="2"/>
  <c r="C24" i="2"/>
  <c r="C35" i="2"/>
  <c r="C49" i="2"/>
  <c r="C50" i="2"/>
  <c r="C34" i="2"/>
  <c r="C45" i="2"/>
  <c r="C46" i="2"/>
  <c r="C47" i="2"/>
  <c r="C48" i="2"/>
  <c r="C33" i="2"/>
  <c r="C28" i="2"/>
  <c r="C32" i="2"/>
  <c r="C42" i="2"/>
  <c r="C43" i="2"/>
  <c r="C44" i="2"/>
  <c r="C41" i="2"/>
  <c r="C40" i="2"/>
  <c r="C23" i="2"/>
  <c r="C39" i="2"/>
  <c r="C27" i="2"/>
  <c r="C31" i="2"/>
  <c r="C18" i="2"/>
  <c r="C38" i="2"/>
  <c r="C11" i="2"/>
  <c r="C16" i="2"/>
  <c r="C21" i="2"/>
  <c r="C13" i="2"/>
  <c r="C37" i="2"/>
  <c r="C19" i="2"/>
  <c r="C9" i="2"/>
  <c r="C14" i="2"/>
  <c r="C30" i="2"/>
  <c r="C5" i="2"/>
  <c r="C26" i="2"/>
  <c r="C17" i="2"/>
  <c r="C36" i="2"/>
  <c r="C22" i="2"/>
  <c r="C15" i="2"/>
  <c r="C25" i="2"/>
  <c r="C10" i="2"/>
  <c r="C4" i="2"/>
  <c r="C7" i="2"/>
  <c r="C6" i="2"/>
  <c r="C12" i="2"/>
  <c r="C8" i="2"/>
  <c r="C3" i="2"/>
  <c r="C2" i="2"/>
</calcChain>
</file>

<file path=xl/sharedStrings.xml><?xml version="1.0" encoding="utf-8"?>
<sst xmlns="http://schemas.openxmlformats.org/spreadsheetml/2006/main" count="1300" uniqueCount="95">
  <si>
    <t>Site</t>
  </si>
  <si>
    <t>Plot</t>
  </si>
  <si>
    <t>Subplot</t>
  </si>
  <si>
    <t>Ziziphus mucronata</t>
  </si>
  <si>
    <t>Dichrostachys cinerea</t>
  </si>
  <si>
    <t>Fluegga virosa</t>
  </si>
  <si>
    <t>Vachellia gerrardii</t>
  </si>
  <si>
    <t>Vachellia karroo</t>
  </si>
  <si>
    <t>Warburgia salutaris</t>
  </si>
  <si>
    <t>Combretum hereroense</t>
  </si>
  <si>
    <t>Bolusanthus speciosus</t>
  </si>
  <si>
    <t>Euclea divinorum</t>
  </si>
  <si>
    <t>Vachellia nilotica</t>
  </si>
  <si>
    <t>Senegalia ataxacantha</t>
  </si>
  <si>
    <t>Berchemia zeyheri</t>
  </si>
  <si>
    <t>Peltophorum africanum</t>
  </si>
  <si>
    <t>Carissa bispinosa</t>
  </si>
  <si>
    <t>Combretum imberbe</t>
  </si>
  <si>
    <t>Combretum apiculatum</t>
  </si>
  <si>
    <t>Dovyalis caffra</t>
  </si>
  <si>
    <t>Gymnosporia senegalensis</t>
  </si>
  <si>
    <t>Allophylus africanus</t>
  </si>
  <si>
    <t>Diospyros lycioides</t>
  </si>
  <si>
    <t>Rhus lancea</t>
  </si>
  <si>
    <t>Terminalia sericea</t>
  </si>
  <si>
    <t>Combretum zeyheri</t>
  </si>
  <si>
    <t>Grewia monticola</t>
  </si>
  <si>
    <t>Grewia decomovulata</t>
  </si>
  <si>
    <t>Albizia harveyi</t>
  </si>
  <si>
    <t>Senegalia rehmanniana</t>
  </si>
  <si>
    <t>Brachystegia spiciformis</t>
  </si>
  <si>
    <t>Colophospermum mopane</t>
  </si>
  <si>
    <t>Combretum mossambicense</t>
  </si>
  <si>
    <t>Terminalia prunioides</t>
  </si>
  <si>
    <t>Tarchonanthus camphoratus</t>
  </si>
  <si>
    <t>Dombeya rotundifolia</t>
  </si>
  <si>
    <t>Flacourtia indica</t>
  </si>
  <si>
    <t>Combretum molle</t>
  </si>
  <si>
    <t>Azanza garckeana</t>
  </si>
  <si>
    <t>Lannea discolor</t>
  </si>
  <si>
    <t>Viscum combreticola</t>
  </si>
  <si>
    <t>Lannea schweinfurthii</t>
  </si>
  <si>
    <t>Maclura africana</t>
  </si>
  <si>
    <t>Ozoroa insignis</t>
  </si>
  <si>
    <t>Dalbergia melanoxylon</t>
  </si>
  <si>
    <t>Vitex mombasa</t>
  </si>
  <si>
    <t>Lippia javanica</t>
  </si>
  <si>
    <t>Albizia versicolor</t>
  </si>
  <si>
    <t>Cassia abbreviata</t>
  </si>
  <si>
    <t>Senegalia nigrescens</t>
  </si>
  <si>
    <t>Pseudolachnostylis maprouneifolia</t>
  </si>
  <si>
    <t>Burkea africana</t>
  </si>
  <si>
    <t>A</t>
  </si>
  <si>
    <t>Z1</t>
  </si>
  <si>
    <t>Z2</t>
  </si>
  <si>
    <t>Z3</t>
  </si>
  <si>
    <t>Z4</t>
  </si>
  <si>
    <t>B</t>
  </si>
  <si>
    <t>C</t>
  </si>
  <si>
    <t>D</t>
  </si>
  <si>
    <t>E</t>
  </si>
  <si>
    <t>F</t>
  </si>
  <si>
    <t>Tree species</t>
  </si>
  <si>
    <t>% absent in subplots</t>
  </si>
  <si>
    <t>SITE</t>
  </si>
  <si>
    <t>PLOT</t>
  </si>
  <si>
    <t>SUBPLOT</t>
  </si>
  <si>
    <t>DICHROSTACHYS CINEREA SUBPLOTS WERE ITS ABSENT</t>
  </si>
  <si>
    <t>D.cinerea</t>
  </si>
  <si>
    <t>Total</t>
  </si>
  <si>
    <t>Species</t>
  </si>
  <si>
    <t>treat</t>
  </si>
  <si>
    <t>plot</t>
  </si>
  <si>
    <t>species</t>
  </si>
  <si>
    <t>count</t>
  </si>
  <si>
    <t>control</t>
  </si>
  <si>
    <t>TREATMT</t>
  </si>
  <si>
    <t>fenced</t>
  </si>
  <si>
    <t>d. cinerea</t>
  </si>
  <si>
    <t>a. karroo</t>
  </si>
  <si>
    <t>site</t>
  </si>
  <si>
    <t>Taxa_S</t>
  </si>
  <si>
    <t>Individuals</t>
  </si>
  <si>
    <t>Dominance_D</t>
  </si>
  <si>
    <t>Simpson_1-D</t>
  </si>
  <si>
    <t>Shannon_H</t>
  </si>
  <si>
    <t>Evenness_e^H/S</t>
  </si>
  <si>
    <t>Brillouin</t>
  </si>
  <si>
    <t>Menhinick</t>
  </si>
  <si>
    <t>Margalef</t>
  </si>
  <si>
    <t>Equitability_J</t>
  </si>
  <si>
    <t>Fisher_alpha</t>
  </si>
  <si>
    <t>Berger-Parker</t>
  </si>
  <si>
    <t>Chao-1</t>
  </si>
  <si>
    <t>Total  subplots (Absent)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</si>
</sst>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1"/>
  <sheetViews>
    <sheetView topLeftCell="A97" workbookViewId="0">
      <selection activeCell="E24" sqref="E24"/>
    </sheetView>
  </sheetViews>
  <sheetFormatPr defaultColWidth="10.90625" defaultRowHeight="14.5" x14ac:dyDescent="0.35"/>
  <cols>
    <col min="1" max="1" width="7.26953125" customWidth="1"/>
    <col min="2" max="2" width="7.453125" customWidth="1"/>
    <col min="3" max="3" width="9.26953125" customWidth="1"/>
    <col min="5" max="5" width="11.26953125" customWidth="1"/>
    <col min="7" max="7" width="13" customWidth="1"/>
    <col min="10" max="10" width="12" customWidth="1"/>
    <col min="11" max="11" width="13.1796875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4</v>
      </c>
      <c r="E1" t="s">
        <v>12</v>
      </c>
      <c r="F1" t="s">
        <v>9</v>
      </c>
      <c r="G1" t="s">
        <v>6</v>
      </c>
      <c r="H1" t="s">
        <v>11</v>
      </c>
      <c r="I1" t="s">
        <v>5</v>
      </c>
      <c r="J1" t="s">
        <v>3</v>
      </c>
      <c r="K1" t="s">
        <v>7</v>
      </c>
      <c r="L1" t="s">
        <v>8</v>
      </c>
      <c r="M1" t="s">
        <v>10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>
        <v>1</v>
      </c>
      <c r="C2" t="s">
        <v>53</v>
      </c>
      <c r="D2">
        <v>18</v>
      </c>
      <c r="E2">
        <v>0</v>
      </c>
      <c r="F2">
        <v>0</v>
      </c>
      <c r="G2">
        <v>15</v>
      </c>
      <c r="H2">
        <v>0</v>
      </c>
      <c r="I2">
        <v>16</v>
      </c>
      <c r="J2">
        <v>21</v>
      </c>
      <c r="K2">
        <v>12</v>
      </c>
      <c r="L2">
        <v>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35">
      <c r="A3" t="s">
        <v>52</v>
      </c>
      <c r="B3">
        <v>1</v>
      </c>
      <c r="C3" t="s">
        <v>54</v>
      </c>
      <c r="D3">
        <v>0</v>
      </c>
      <c r="E3">
        <v>0</v>
      </c>
      <c r="F3">
        <v>23</v>
      </c>
      <c r="G3">
        <v>19</v>
      </c>
      <c r="H3">
        <v>0</v>
      </c>
      <c r="I3">
        <v>0</v>
      </c>
      <c r="J3">
        <v>6</v>
      </c>
      <c r="K3">
        <v>6</v>
      </c>
      <c r="L3">
        <v>0</v>
      </c>
      <c r="M3">
        <v>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35">
      <c r="A4" t="s">
        <v>52</v>
      </c>
      <c r="B4">
        <v>1</v>
      </c>
      <c r="C4" t="s">
        <v>55</v>
      </c>
      <c r="D4">
        <v>25</v>
      </c>
      <c r="E4">
        <v>15</v>
      </c>
      <c r="F4">
        <v>0</v>
      </c>
      <c r="G4">
        <v>40</v>
      </c>
      <c r="H4">
        <v>25</v>
      </c>
      <c r="I4">
        <v>0</v>
      </c>
      <c r="J4">
        <v>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35">
      <c r="A5" t="s">
        <v>52</v>
      </c>
      <c r="B5">
        <v>1</v>
      </c>
      <c r="C5" t="s">
        <v>56</v>
      </c>
      <c r="D5">
        <v>17</v>
      </c>
      <c r="E5">
        <v>0</v>
      </c>
      <c r="F5">
        <v>23</v>
      </c>
      <c r="G5">
        <v>18</v>
      </c>
      <c r="H5">
        <v>0</v>
      </c>
      <c r="I5">
        <v>0</v>
      </c>
      <c r="J5">
        <v>12</v>
      </c>
      <c r="K5">
        <v>0</v>
      </c>
      <c r="L5">
        <v>11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35">
      <c r="A6" t="s">
        <v>52</v>
      </c>
      <c r="B6">
        <v>2</v>
      </c>
      <c r="C6" t="s">
        <v>53</v>
      </c>
      <c r="D6">
        <v>0</v>
      </c>
      <c r="E6">
        <v>0</v>
      </c>
      <c r="F6">
        <v>6</v>
      </c>
      <c r="G6">
        <v>3</v>
      </c>
      <c r="H6">
        <v>0</v>
      </c>
      <c r="I6">
        <v>0</v>
      </c>
      <c r="J6">
        <v>3</v>
      </c>
      <c r="K6">
        <v>0</v>
      </c>
      <c r="L6">
        <v>0</v>
      </c>
      <c r="M6">
        <v>7</v>
      </c>
      <c r="N6">
        <v>13</v>
      </c>
      <c r="O6">
        <v>12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35">
      <c r="A7" t="s">
        <v>52</v>
      </c>
      <c r="B7">
        <v>2</v>
      </c>
      <c r="C7" t="s">
        <v>54</v>
      </c>
      <c r="D7">
        <v>0</v>
      </c>
      <c r="E7">
        <v>0</v>
      </c>
      <c r="F7">
        <v>17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11</v>
      </c>
      <c r="N7">
        <v>12</v>
      </c>
      <c r="O7">
        <v>0</v>
      </c>
      <c r="P7">
        <v>10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35">
      <c r="A8" t="s">
        <v>52</v>
      </c>
      <c r="B8">
        <v>2</v>
      </c>
      <c r="C8" t="s">
        <v>55</v>
      </c>
      <c r="D8">
        <v>7</v>
      </c>
      <c r="E8">
        <v>0</v>
      </c>
      <c r="F8">
        <v>25</v>
      </c>
      <c r="G8">
        <v>8</v>
      </c>
      <c r="H8">
        <v>0</v>
      </c>
      <c r="I8">
        <v>0</v>
      </c>
      <c r="J8">
        <v>6</v>
      </c>
      <c r="K8">
        <v>0</v>
      </c>
      <c r="L8">
        <v>0</v>
      </c>
      <c r="M8">
        <v>7</v>
      </c>
      <c r="N8">
        <v>0</v>
      </c>
      <c r="O8">
        <v>0</v>
      </c>
      <c r="P8">
        <v>0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35">
      <c r="A9" t="s">
        <v>52</v>
      </c>
      <c r="B9">
        <v>2</v>
      </c>
      <c r="C9" t="s">
        <v>56</v>
      </c>
      <c r="D9">
        <v>0</v>
      </c>
      <c r="E9">
        <v>0</v>
      </c>
      <c r="F9">
        <v>22</v>
      </c>
      <c r="G9">
        <v>10</v>
      </c>
      <c r="H9">
        <v>0</v>
      </c>
      <c r="I9">
        <v>0</v>
      </c>
      <c r="J9">
        <v>5</v>
      </c>
      <c r="K9">
        <v>0</v>
      </c>
      <c r="L9">
        <v>0</v>
      </c>
      <c r="M9">
        <v>7</v>
      </c>
      <c r="N9">
        <v>0</v>
      </c>
      <c r="O9">
        <v>0</v>
      </c>
      <c r="P9">
        <v>5</v>
      </c>
      <c r="Q9">
        <v>0</v>
      </c>
      <c r="R9">
        <v>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35">
      <c r="A10" t="s">
        <v>52</v>
      </c>
      <c r="B10">
        <v>3</v>
      </c>
      <c r="C10" t="s">
        <v>53</v>
      </c>
      <c r="D10">
        <v>0</v>
      </c>
      <c r="E10">
        <v>19</v>
      </c>
      <c r="F10">
        <v>38</v>
      </c>
      <c r="G10">
        <v>12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>
        <v>11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35">
      <c r="A11" t="s">
        <v>52</v>
      </c>
      <c r="B11">
        <v>3</v>
      </c>
      <c r="C11" t="s">
        <v>54</v>
      </c>
      <c r="D11">
        <v>15</v>
      </c>
      <c r="E11">
        <v>8</v>
      </c>
      <c r="F11">
        <v>36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40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35">
      <c r="A12" t="s">
        <v>52</v>
      </c>
      <c r="B12">
        <v>3</v>
      </c>
      <c r="C12" t="s">
        <v>55</v>
      </c>
      <c r="D12">
        <v>0</v>
      </c>
      <c r="E12">
        <v>43</v>
      </c>
      <c r="F12">
        <v>24</v>
      </c>
      <c r="G12">
        <v>12</v>
      </c>
      <c r="H12">
        <v>0</v>
      </c>
      <c r="I12">
        <v>0</v>
      </c>
      <c r="J12">
        <v>0</v>
      </c>
      <c r="K12">
        <v>0</v>
      </c>
      <c r="L12">
        <v>0</v>
      </c>
      <c r="M12">
        <v>9</v>
      </c>
      <c r="N12">
        <v>0</v>
      </c>
      <c r="O12">
        <v>0</v>
      </c>
      <c r="P12">
        <v>0</v>
      </c>
      <c r="Q12">
        <v>0</v>
      </c>
      <c r="R12">
        <v>0</v>
      </c>
      <c r="S12">
        <v>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35">
      <c r="A13" t="s">
        <v>52</v>
      </c>
      <c r="B13">
        <v>3</v>
      </c>
      <c r="C13" t="s">
        <v>56</v>
      </c>
      <c r="D13">
        <v>0</v>
      </c>
      <c r="E13">
        <v>29</v>
      </c>
      <c r="F13">
        <v>32</v>
      </c>
      <c r="G13">
        <v>0</v>
      </c>
      <c r="H13">
        <v>0</v>
      </c>
      <c r="I13">
        <v>6</v>
      </c>
      <c r="J13">
        <v>0</v>
      </c>
      <c r="K13">
        <v>0</v>
      </c>
      <c r="L13">
        <v>0</v>
      </c>
      <c r="M13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22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35">
      <c r="A14" t="s">
        <v>52</v>
      </c>
      <c r="B14">
        <v>4</v>
      </c>
      <c r="C14" t="s">
        <v>53</v>
      </c>
      <c r="D14">
        <v>24</v>
      </c>
      <c r="E14">
        <v>0</v>
      </c>
      <c r="F14">
        <v>24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>
        <v>14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35">
      <c r="A15" t="s">
        <v>52</v>
      </c>
      <c r="B15">
        <v>4</v>
      </c>
      <c r="C15" t="s">
        <v>54</v>
      </c>
      <c r="D15">
        <v>31</v>
      </c>
      <c r="E15">
        <v>0</v>
      </c>
      <c r="F15">
        <v>22</v>
      </c>
      <c r="G15">
        <v>15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35">
      <c r="A16" t="s">
        <v>52</v>
      </c>
      <c r="B16">
        <v>4</v>
      </c>
      <c r="C16" t="s">
        <v>55</v>
      </c>
      <c r="D16">
        <v>10</v>
      </c>
      <c r="E16">
        <v>0</v>
      </c>
      <c r="F16">
        <v>23</v>
      </c>
      <c r="G16">
        <v>12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0</v>
      </c>
      <c r="O16">
        <v>0</v>
      </c>
      <c r="P16">
        <v>0</v>
      </c>
      <c r="Q16">
        <v>0</v>
      </c>
      <c r="R16">
        <v>0</v>
      </c>
      <c r="S16">
        <v>35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35">
      <c r="A17" t="s">
        <v>52</v>
      </c>
      <c r="B17">
        <v>4</v>
      </c>
      <c r="C17" t="s">
        <v>56</v>
      </c>
      <c r="D17">
        <v>12</v>
      </c>
      <c r="E17">
        <v>0</v>
      </c>
      <c r="F17">
        <v>8</v>
      </c>
      <c r="G17">
        <v>6</v>
      </c>
      <c r="H17">
        <v>0</v>
      </c>
      <c r="I17">
        <v>0</v>
      </c>
      <c r="J17">
        <v>0</v>
      </c>
      <c r="K17">
        <v>0</v>
      </c>
      <c r="L17">
        <v>4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35">
      <c r="A18" t="s">
        <v>52</v>
      </c>
      <c r="B18">
        <v>5</v>
      </c>
      <c r="C18" t="s">
        <v>53</v>
      </c>
      <c r="D18">
        <v>13</v>
      </c>
      <c r="E18">
        <v>0</v>
      </c>
      <c r="F18">
        <v>30</v>
      </c>
      <c r="G18">
        <v>16</v>
      </c>
      <c r="H18">
        <v>0</v>
      </c>
      <c r="I18">
        <v>0</v>
      </c>
      <c r="J18">
        <v>11</v>
      </c>
      <c r="K18">
        <v>0</v>
      </c>
      <c r="L18">
        <v>0</v>
      </c>
      <c r="M18">
        <v>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35">
      <c r="A19" t="s">
        <v>52</v>
      </c>
      <c r="B19">
        <v>5</v>
      </c>
      <c r="C19" t="s">
        <v>54</v>
      </c>
      <c r="D19">
        <v>18</v>
      </c>
      <c r="E19">
        <v>9</v>
      </c>
      <c r="F19">
        <v>54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35">
      <c r="A20" t="s">
        <v>52</v>
      </c>
      <c r="B20">
        <v>5</v>
      </c>
      <c r="C20" t="s">
        <v>55</v>
      </c>
      <c r="D20">
        <v>25</v>
      </c>
      <c r="E20">
        <v>0</v>
      </c>
      <c r="F20">
        <v>35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35">
      <c r="A21" t="s">
        <v>52</v>
      </c>
      <c r="B21">
        <v>5</v>
      </c>
      <c r="C21" t="s">
        <v>56</v>
      </c>
      <c r="D21">
        <v>12</v>
      </c>
      <c r="E21">
        <v>0</v>
      </c>
      <c r="F21">
        <v>29</v>
      </c>
      <c r="G21">
        <v>10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0</v>
      </c>
      <c r="O21">
        <v>0</v>
      </c>
      <c r="P21">
        <v>0</v>
      </c>
      <c r="Q21">
        <v>0</v>
      </c>
      <c r="R21">
        <v>0</v>
      </c>
      <c r="S21">
        <v>11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35">
      <c r="A22" t="s">
        <v>57</v>
      </c>
      <c r="B22">
        <v>1</v>
      </c>
      <c r="C22" t="s">
        <v>53</v>
      </c>
      <c r="D22">
        <v>0</v>
      </c>
      <c r="E22">
        <v>4</v>
      </c>
      <c r="F22">
        <v>4</v>
      </c>
      <c r="G22">
        <v>0</v>
      </c>
      <c r="H22">
        <v>0</v>
      </c>
      <c r="I22">
        <v>12</v>
      </c>
      <c r="J22">
        <v>4</v>
      </c>
      <c r="K22">
        <v>14</v>
      </c>
      <c r="L22">
        <v>0</v>
      </c>
      <c r="M22">
        <v>0</v>
      </c>
      <c r="N22">
        <v>0</v>
      </c>
      <c r="O22">
        <v>0</v>
      </c>
      <c r="P22">
        <v>16</v>
      </c>
      <c r="Q22">
        <v>0</v>
      </c>
      <c r="R22">
        <v>0</v>
      </c>
      <c r="S22">
        <v>0</v>
      </c>
      <c r="T22">
        <v>0</v>
      </c>
      <c r="U22">
        <v>4</v>
      </c>
      <c r="V22">
        <v>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35">
      <c r="A23" t="s">
        <v>57</v>
      </c>
      <c r="B23">
        <v>1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8</v>
      </c>
      <c r="L23">
        <v>0</v>
      </c>
      <c r="M23">
        <v>0</v>
      </c>
      <c r="N23">
        <v>18</v>
      </c>
      <c r="O23">
        <v>0</v>
      </c>
      <c r="P23">
        <v>5</v>
      </c>
      <c r="Q23">
        <v>0</v>
      </c>
      <c r="R23">
        <v>0</v>
      </c>
      <c r="S23">
        <v>0</v>
      </c>
      <c r="T23">
        <v>0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35">
      <c r="A24" t="s">
        <v>57</v>
      </c>
      <c r="B24">
        <v>1</v>
      </c>
      <c r="C24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10</v>
      </c>
      <c r="J24">
        <v>10</v>
      </c>
      <c r="K24">
        <v>19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10</v>
      </c>
      <c r="V24">
        <v>10</v>
      </c>
      <c r="W24">
        <v>11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35">
      <c r="A25" t="s">
        <v>57</v>
      </c>
      <c r="B25">
        <v>1</v>
      </c>
      <c r="C25" t="s">
        <v>56</v>
      </c>
      <c r="D25">
        <v>0</v>
      </c>
      <c r="E25">
        <v>0</v>
      </c>
      <c r="F25">
        <v>0</v>
      </c>
      <c r="G25">
        <v>0</v>
      </c>
      <c r="H25">
        <v>0</v>
      </c>
      <c r="I25">
        <v>14</v>
      </c>
      <c r="J25">
        <v>10</v>
      </c>
      <c r="K25">
        <v>25</v>
      </c>
      <c r="L25">
        <v>0</v>
      </c>
      <c r="M25">
        <v>0</v>
      </c>
      <c r="N25">
        <v>13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35">
      <c r="A26" t="s">
        <v>57</v>
      </c>
      <c r="B26">
        <v>2</v>
      </c>
      <c r="C26" t="s">
        <v>53</v>
      </c>
      <c r="D26">
        <v>0</v>
      </c>
      <c r="E26">
        <v>0</v>
      </c>
      <c r="F26">
        <v>15</v>
      </c>
      <c r="G26">
        <v>0</v>
      </c>
      <c r="H26">
        <v>0</v>
      </c>
      <c r="I26">
        <v>0</v>
      </c>
      <c r="J26">
        <v>6</v>
      </c>
      <c r="K26">
        <v>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</v>
      </c>
      <c r="V26">
        <v>0</v>
      </c>
      <c r="W26">
        <v>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35">
      <c r="A27" t="s">
        <v>57</v>
      </c>
      <c r="B27">
        <v>2</v>
      </c>
      <c r="C27" t="s">
        <v>54</v>
      </c>
      <c r="D27">
        <v>0</v>
      </c>
      <c r="E27">
        <v>0</v>
      </c>
      <c r="F27">
        <v>14</v>
      </c>
      <c r="G27">
        <v>0</v>
      </c>
      <c r="H27">
        <v>0</v>
      </c>
      <c r="I27">
        <v>14</v>
      </c>
      <c r="J27">
        <v>0</v>
      </c>
      <c r="K27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14</v>
      </c>
      <c r="V27">
        <v>0</v>
      </c>
      <c r="W27">
        <v>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35">
      <c r="A28" t="s">
        <v>57</v>
      </c>
      <c r="B28">
        <v>2</v>
      </c>
      <c r="C28" t="s">
        <v>55</v>
      </c>
      <c r="D28">
        <v>0</v>
      </c>
      <c r="E28">
        <v>0</v>
      </c>
      <c r="F28">
        <v>9</v>
      </c>
      <c r="G28">
        <v>0</v>
      </c>
      <c r="H28">
        <v>0</v>
      </c>
      <c r="I28">
        <v>0</v>
      </c>
      <c r="J28">
        <v>9</v>
      </c>
      <c r="K28">
        <v>15</v>
      </c>
      <c r="L28">
        <v>0</v>
      </c>
      <c r="M28">
        <v>0</v>
      </c>
      <c r="N28">
        <v>0</v>
      </c>
      <c r="O28">
        <v>0</v>
      </c>
      <c r="P28">
        <v>10</v>
      </c>
      <c r="Q28">
        <v>0</v>
      </c>
      <c r="R28">
        <v>0</v>
      </c>
      <c r="S28">
        <v>0</v>
      </c>
      <c r="T28">
        <v>0</v>
      </c>
      <c r="U28">
        <v>10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35">
      <c r="A29" t="s">
        <v>57</v>
      </c>
      <c r="B29">
        <v>2</v>
      </c>
      <c r="C29" t="s">
        <v>56</v>
      </c>
      <c r="D29">
        <v>12</v>
      </c>
      <c r="E29">
        <v>0</v>
      </c>
      <c r="F29">
        <v>0</v>
      </c>
      <c r="G29">
        <v>0</v>
      </c>
      <c r="H29">
        <v>0</v>
      </c>
      <c r="I29">
        <v>21</v>
      </c>
      <c r="J29">
        <v>0</v>
      </c>
      <c r="K29">
        <v>20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20</v>
      </c>
      <c r="V29">
        <v>0</v>
      </c>
      <c r="W29">
        <v>12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35">
      <c r="A30" t="s">
        <v>57</v>
      </c>
      <c r="B30">
        <v>3</v>
      </c>
      <c r="C30" t="s">
        <v>53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3</v>
      </c>
      <c r="K30">
        <v>24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</v>
      </c>
      <c r="V30">
        <v>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35">
      <c r="A31" t="s">
        <v>57</v>
      </c>
      <c r="B31">
        <v>3</v>
      </c>
      <c r="C31" t="s">
        <v>54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13</v>
      </c>
      <c r="K31">
        <v>45</v>
      </c>
      <c r="L31">
        <v>0</v>
      </c>
      <c r="M31">
        <v>0</v>
      </c>
      <c r="N31">
        <v>0</v>
      </c>
      <c r="O31">
        <v>0</v>
      </c>
      <c r="P31">
        <v>5</v>
      </c>
      <c r="Q31">
        <v>0</v>
      </c>
      <c r="R31">
        <v>0</v>
      </c>
      <c r="S31">
        <v>0</v>
      </c>
      <c r="T31">
        <v>0</v>
      </c>
      <c r="U31">
        <v>5</v>
      </c>
      <c r="V31">
        <v>17</v>
      </c>
      <c r="W31">
        <v>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35">
      <c r="A32" t="s">
        <v>57</v>
      </c>
      <c r="B32">
        <v>3</v>
      </c>
      <c r="C32" t="s">
        <v>55</v>
      </c>
      <c r="D32">
        <v>0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35">
      <c r="A33" t="s">
        <v>57</v>
      </c>
      <c r="B33">
        <v>3</v>
      </c>
      <c r="C33" t="s">
        <v>56</v>
      </c>
      <c r="D33">
        <v>0</v>
      </c>
      <c r="E33">
        <v>0</v>
      </c>
      <c r="F33">
        <v>0</v>
      </c>
      <c r="G33">
        <v>0</v>
      </c>
      <c r="H33">
        <v>0</v>
      </c>
      <c r="I33">
        <v>4</v>
      </c>
      <c r="J33">
        <v>10</v>
      </c>
      <c r="K33">
        <v>60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</v>
      </c>
      <c r="V33">
        <v>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35">
      <c r="A34" t="s">
        <v>57</v>
      </c>
      <c r="B34">
        <v>4</v>
      </c>
      <c r="C34" t="s">
        <v>53</v>
      </c>
      <c r="D34">
        <v>0</v>
      </c>
      <c r="E34">
        <v>0</v>
      </c>
      <c r="F34">
        <v>0</v>
      </c>
      <c r="G34">
        <v>0</v>
      </c>
      <c r="H34">
        <v>0</v>
      </c>
      <c r="I34">
        <v>7</v>
      </c>
      <c r="J34">
        <v>13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</v>
      </c>
      <c r="W34">
        <v>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35">
      <c r="A35" t="s">
        <v>57</v>
      </c>
      <c r="B35">
        <v>4</v>
      </c>
      <c r="C35" t="s">
        <v>54</v>
      </c>
      <c r="D35">
        <v>0</v>
      </c>
      <c r="E35">
        <v>0</v>
      </c>
      <c r="F35">
        <v>0</v>
      </c>
      <c r="G35">
        <v>0</v>
      </c>
      <c r="H35">
        <v>0</v>
      </c>
      <c r="I35">
        <v>8</v>
      </c>
      <c r="J35">
        <v>12</v>
      </c>
      <c r="K35">
        <v>36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</v>
      </c>
      <c r="V35">
        <v>10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35">
      <c r="A36" t="s">
        <v>57</v>
      </c>
      <c r="B36">
        <v>4</v>
      </c>
      <c r="C36" t="s">
        <v>55</v>
      </c>
      <c r="D36">
        <v>9</v>
      </c>
      <c r="E36">
        <v>7</v>
      </c>
      <c r="F36">
        <v>0</v>
      </c>
      <c r="G36">
        <v>0</v>
      </c>
      <c r="H36">
        <v>0</v>
      </c>
      <c r="I36">
        <v>16</v>
      </c>
      <c r="J36">
        <v>11</v>
      </c>
      <c r="K36">
        <v>33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35">
      <c r="A37" t="s">
        <v>57</v>
      </c>
      <c r="B37">
        <v>4</v>
      </c>
      <c r="C37" t="s">
        <v>56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12</v>
      </c>
      <c r="K37">
        <v>20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35">
      <c r="A38" t="s">
        <v>57</v>
      </c>
      <c r="B38">
        <v>5</v>
      </c>
      <c r="C38" t="s">
        <v>53</v>
      </c>
      <c r="D38">
        <v>0</v>
      </c>
      <c r="E38">
        <v>5</v>
      </c>
      <c r="F38">
        <v>0</v>
      </c>
      <c r="G38">
        <v>0</v>
      </c>
      <c r="H38">
        <v>0</v>
      </c>
      <c r="I38">
        <v>8</v>
      </c>
      <c r="J38">
        <v>6</v>
      </c>
      <c r="K38">
        <v>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24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35">
      <c r="A39" t="s">
        <v>57</v>
      </c>
      <c r="B39">
        <v>5</v>
      </c>
      <c r="C39" t="s">
        <v>54</v>
      </c>
      <c r="D39">
        <v>0</v>
      </c>
      <c r="E39">
        <v>12</v>
      </c>
      <c r="F39">
        <v>0</v>
      </c>
      <c r="G39">
        <v>0</v>
      </c>
      <c r="H39">
        <v>0</v>
      </c>
      <c r="I39">
        <v>25</v>
      </c>
      <c r="J39">
        <v>13</v>
      </c>
      <c r="K39">
        <v>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35">
      <c r="A40" t="s">
        <v>57</v>
      </c>
      <c r="B40">
        <v>5</v>
      </c>
      <c r="C40" t="s">
        <v>55</v>
      </c>
      <c r="D40">
        <v>0</v>
      </c>
      <c r="E40">
        <v>11</v>
      </c>
      <c r="F40">
        <v>0</v>
      </c>
      <c r="G40">
        <v>0</v>
      </c>
      <c r="H40">
        <v>0</v>
      </c>
      <c r="I40">
        <v>21</v>
      </c>
      <c r="J40">
        <v>14</v>
      </c>
      <c r="K40">
        <v>29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35">
      <c r="A41" t="s">
        <v>57</v>
      </c>
      <c r="B41">
        <v>5</v>
      </c>
      <c r="C41" t="s">
        <v>56</v>
      </c>
      <c r="D41">
        <v>0</v>
      </c>
      <c r="E41">
        <v>0</v>
      </c>
      <c r="F41">
        <v>2</v>
      </c>
      <c r="G41">
        <v>0</v>
      </c>
      <c r="H41">
        <v>0</v>
      </c>
      <c r="I41">
        <v>10</v>
      </c>
      <c r="J41">
        <v>3</v>
      </c>
      <c r="K41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13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35">
      <c r="A42" t="s">
        <v>58</v>
      </c>
      <c r="B42">
        <v>1</v>
      </c>
      <c r="C42" t="s">
        <v>53</v>
      </c>
      <c r="D42">
        <v>123</v>
      </c>
      <c r="E42">
        <v>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29</v>
      </c>
      <c r="Z42">
        <v>9</v>
      </c>
      <c r="AA42">
        <v>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35">
      <c r="A43" t="s">
        <v>58</v>
      </c>
      <c r="B43">
        <v>1</v>
      </c>
      <c r="C43" t="s">
        <v>54</v>
      </c>
      <c r="D43">
        <v>118</v>
      </c>
      <c r="E43">
        <v>15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59</v>
      </c>
      <c r="Z43">
        <v>15</v>
      </c>
      <c r="AA43">
        <v>14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35">
      <c r="A44" t="s">
        <v>58</v>
      </c>
      <c r="B44">
        <v>1</v>
      </c>
      <c r="C44" t="s">
        <v>55</v>
      </c>
      <c r="D44">
        <v>99</v>
      </c>
      <c r="E44">
        <v>0</v>
      </c>
      <c r="F44">
        <v>0</v>
      </c>
      <c r="G44">
        <v>0</v>
      </c>
      <c r="H44">
        <v>0</v>
      </c>
      <c r="I44">
        <v>0</v>
      </c>
      <c r="J44">
        <v>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30</v>
      </c>
      <c r="Z44">
        <v>11</v>
      </c>
      <c r="AA44">
        <v>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35">
      <c r="A45" t="s">
        <v>58</v>
      </c>
      <c r="B45">
        <v>1</v>
      </c>
      <c r="C45" t="s">
        <v>56</v>
      </c>
      <c r="D45">
        <v>115</v>
      </c>
      <c r="E45">
        <v>0</v>
      </c>
      <c r="F45">
        <v>0</v>
      </c>
      <c r="G45">
        <v>0</v>
      </c>
      <c r="H45">
        <v>0</v>
      </c>
      <c r="I45">
        <v>0</v>
      </c>
      <c r="J45">
        <v>14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38</v>
      </c>
      <c r="Z45">
        <v>9</v>
      </c>
      <c r="AA45">
        <v>13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35">
      <c r="A46" t="s">
        <v>58</v>
      </c>
      <c r="B46">
        <v>2</v>
      </c>
      <c r="C46" t="s">
        <v>53</v>
      </c>
      <c r="D46">
        <v>109</v>
      </c>
      <c r="E46">
        <v>28</v>
      </c>
      <c r="F46">
        <v>0</v>
      </c>
      <c r="G46">
        <v>0</v>
      </c>
      <c r="H46">
        <v>0</v>
      </c>
      <c r="I46">
        <v>0</v>
      </c>
      <c r="J46">
        <v>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18</v>
      </c>
      <c r="AB46">
        <v>28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35">
      <c r="A47" t="s">
        <v>58</v>
      </c>
      <c r="B47">
        <v>2</v>
      </c>
      <c r="C47" t="s">
        <v>54</v>
      </c>
      <c r="D47">
        <v>125</v>
      </c>
      <c r="E47">
        <v>31</v>
      </c>
      <c r="F47">
        <v>0</v>
      </c>
      <c r="G47">
        <v>0</v>
      </c>
      <c r="H47">
        <v>0</v>
      </c>
      <c r="I47">
        <v>0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12</v>
      </c>
      <c r="AB47">
        <v>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35">
      <c r="A48" t="s">
        <v>58</v>
      </c>
      <c r="B48">
        <v>2</v>
      </c>
      <c r="C48" t="s">
        <v>55</v>
      </c>
      <c r="D48">
        <v>101</v>
      </c>
      <c r="E48">
        <v>15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</v>
      </c>
      <c r="Z48">
        <v>0</v>
      </c>
      <c r="AA48">
        <v>12</v>
      </c>
      <c r="AB48">
        <v>16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35">
      <c r="A49" t="s">
        <v>58</v>
      </c>
      <c r="B49">
        <v>2</v>
      </c>
      <c r="C49" t="s">
        <v>56</v>
      </c>
      <c r="D49">
        <v>99</v>
      </c>
      <c r="E49">
        <v>48</v>
      </c>
      <c r="F49">
        <v>0</v>
      </c>
      <c r="G49">
        <v>0</v>
      </c>
      <c r="H49">
        <v>0</v>
      </c>
      <c r="I49">
        <v>0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13</v>
      </c>
      <c r="AB49">
        <v>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35">
      <c r="A50" t="s">
        <v>58</v>
      </c>
      <c r="B50">
        <v>3</v>
      </c>
      <c r="C50" t="s">
        <v>53</v>
      </c>
      <c r="D50">
        <v>136</v>
      </c>
      <c r="E50">
        <v>12</v>
      </c>
      <c r="F50">
        <v>0</v>
      </c>
      <c r="G50">
        <v>0</v>
      </c>
      <c r="H50">
        <v>9</v>
      </c>
      <c r="I50">
        <v>0</v>
      </c>
      <c r="J50">
        <v>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35">
      <c r="A51" t="s">
        <v>58</v>
      </c>
      <c r="B51">
        <v>3</v>
      </c>
      <c r="C51" t="s">
        <v>54</v>
      </c>
      <c r="D51">
        <v>71</v>
      </c>
      <c r="E51">
        <v>9</v>
      </c>
      <c r="F51">
        <v>16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35">
      <c r="A52" t="s">
        <v>58</v>
      </c>
      <c r="B52">
        <v>3</v>
      </c>
      <c r="C52" t="s">
        <v>55</v>
      </c>
      <c r="D52">
        <v>22</v>
      </c>
      <c r="E52">
        <v>4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34</v>
      </c>
      <c r="Z52">
        <v>1</v>
      </c>
      <c r="AA52">
        <v>2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35">
      <c r="A53" t="s">
        <v>58</v>
      </c>
      <c r="B53">
        <v>3</v>
      </c>
      <c r="C53" t="s">
        <v>56</v>
      </c>
      <c r="D53">
        <v>13</v>
      </c>
      <c r="E53">
        <v>8</v>
      </c>
      <c r="F53">
        <v>7</v>
      </c>
      <c r="G53">
        <v>0</v>
      </c>
      <c r="H53">
        <v>0</v>
      </c>
      <c r="I53">
        <v>0</v>
      </c>
      <c r="J53">
        <v>0</v>
      </c>
      <c r="K53">
        <v>7</v>
      </c>
      <c r="L53">
        <v>0</v>
      </c>
      <c r="M53">
        <v>0</v>
      </c>
      <c r="N53">
        <v>0</v>
      </c>
      <c r="O53">
        <v>0</v>
      </c>
      <c r="P53">
        <v>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35">
      <c r="A54" t="s">
        <v>58</v>
      </c>
      <c r="B54">
        <v>4</v>
      </c>
      <c r="C54" t="s">
        <v>53</v>
      </c>
      <c r="D54">
        <v>129</v>
      </c>
      <c r="E54">
        <v>9</v>
      </c>
      <c r="F54">
        <v>11</v>
      </c>
      <c r="G54">
        <v>0</v>
      </c>
      <c r="H54">
        <v>0</v>
      </c>
      <c r="I54">
        <v>0</v>
      </c>
      <c r="J54">
        <v>16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35">
      <c r="A55" t="s">
        <v>58</v>
      </c>
      <c r="B55">
        <v>4</v>
      </c>
      <c r="C55" t="s">
        <v>54</v>
      </c>
      <c r="D55">
        <v>26</v>
      </c>
      <c r="E55">
        <v>0</v>
      </c>
      <c r="F55">
        <v>10</v>
      </c>
      <c r="G55">
        <v>0</v>
      </c>
      <c r="H55">
        <v>0</v>
      </c>
      <c r="I55">
        <v>0</v>
      </c>
      <c r="J55">
        <v>5</v>
      </c>
      <c r="K55">
        <v>0</v>
      </c>
      <c r="L55">
        <v>0</v>
      </c>
      <c r="M55">
        <v>0</v>
      </c>
      <c r="N55">
        <v>0</v>
      </c>
      <c r="O55">
        <v>0</v>
      </c>
      <c r="P55">
        <v>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35">
      <c r="A56" t="s">
        <v>58</v>
      </c>
      <c r="B56">
        <v>4</v>
      </c>
      <c r="C56" t="s">
        <v>55</v>
      </c>
      <c r="D56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17</v>
      </c>
      <c r="K56">
        <v>0</v>
      </c>
      <c r="L56">
        <v>0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0</v>
      </c>
      <c r="T56">
        <v>0</v>
      </c>
      <c r="U56">
        <v>0</v>
      </c>
      <c r="V56">
        <v>7</v>
      </c>
      <c r="W56">
        <v>0</v>
      </c>
      <c r="X56">
        <v>0</v>
      </c>
      <c r="Y56">
        <v>12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35">
      <c r="A57" t="s">
        <v>58</v>
      </c>
      <c r="B57">
        <v>4</v>
      </c>
      <c r="C57" t="s">
        <v>56</v>
      </c>
      <c r="D57">
        <v>26</v>
      </c>
      <c r="E57">
        <v>0</v>
      </c>
      <c r="F57">
        <v>11</v>
      </c>
      <c r="G57">
        <v>0</v>
      </c>
      <c r="H57">
        <v>10</v>
      </c>
      <c r="I57">
        <v>0</v>
      </c>
      <c r="J57">
        <v>11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35">
      <c r="A58" t="s">
        <v>58</v>
      </c>
      <c r="B58">
        <v>5</v>
      </c>
      <c r="C58" t="s">
        <v>53</v>
      </c>
      <c r="D58">
        <v>64</v>
      </c>
      <c r="E58">
        <v>8</v>
      </c>
      <c r="F58">
        <v>0</v>
      </c>
      <c r="G58">
        <v>0</v>
      </c>
      <c r="H58">
        <v>0</v>
      </c>
      <c r="I58">
        <v>0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U58">
        <v>0</v>
      </c>
      <c r="V58">
        <v>0</v>
      </c>
      <c r="W58">
        <v>0</v>
      </c>
      <c r="X58">
        <v>0</v>
      </c>
      <c r="Y58">
        <v>10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35">
      <c r="A59" t="s">
        <v>58</v>
      </c>
      <c r="B59">
        <v>5</v>
      </c>
      <c r="C59" t="s">
        <v>54</v>
      </c>
      <c r="D59">
        <v>61</v>
      </c>
      <c r="E59">
        <v>17</v>
      </c>
      <c r="F59">
        <v>0</v>
      </c>
      <c r="G59">
        <v>0</v>
      </c>
      <c r="H59">
        <v>0</v>
      </c>
      <c r="I59">
        <v>0</v>
      </c>
      <c r="J59">
        <v>9</v>
      </c>
      <c r="K59">
        <v>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35">
      <c r="A60" t="s">
        <v>58</v>
      </c>
      <c r="B60">
        <v>5</v>
      </c>
      <c r="C60" t="s">
        <v>55</v>
      </c>
      <c r="D60">
        <v>94</v>
      </c>
      <c r="E60">
        <v>14</v>
      </c>
      <c r="F60">
        <v>0</v>
      </c>
      <c r="G60">
        <v>0</v>
      </c>
      <c r="H60">
        <v>0</v>
      </c>
      <c r="I60">
        <v>0</v>
      </c>
      <c r="J60">
        <v>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18</v>
      </c>
      <c r="AB60">
        <v>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35">
      <c r="A61" t="s">
        <v>58</v>
      </c>
      <c r="B61">
        <v>5</v>
      </c>
      <c r="C61" t="s">
        <v>56</v>
      </c>
      <c r="D61">
        <v>97</v>
      </c>
      <c r="E61">
        <v>23</v>
      </c>
      <c r="F61">
        <v>0</v>
      </c>
      <c r="G61">
        <v>0</v>
      </c>
      <c r="H61">
        <v>8</v>
      </c>
      <c r="I61">
        <v>0</v>
      </c>
      <c r="J61">
        <v>29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 x14ac:dyDescent="0.35">
      <c r="A62" t="s">
        <v>59</v>
      </c>
      <c r="B62">
        <v>1</v>
      </c>
      <c r="C62" t="s">
        <v>53</v>
      </c>
      <c r="D62">
        <v>31</v>
      </c>
      <c r="E62">
        <v>20</v>
      </c>
      <c r="F62">
        <v>0</v>
      </c>
      <c r="G62">
        <v>0</v>
      </c>
      <c r="H62">
        <v>13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35">
      <c r="A63" t="s">
        <v>59</v>
      </c>
      <c r="B63">
        <v>1</v>
      </c>
      <c r="C63" t="s">
        <v>54</v>
      </c>
      <c r="D63">
        <v>34</v>
      </c>
      <c r="E63">
        <v>15</v>
      </c>
      <c r="F63">
        <v>0</v>
      </c>
      <c r="G63">
        <v>0</v>
      </c>
      <c r="H63">
        <v>22</v>
      </c>
      <c r="I63">
        <v>10</v>
      </c>
      <c r="J63">
        <v>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35">
      <c r="A64" t="s">
        <v>59</v>
      </c>
      <c r="B64">
        <v>1</v>
      </c>
      <c r="C64" t="s">
        <v>55</v>
      </c>
      <c r="D64">
        <v>56</v>
      </c>
      <c r="E64">
        <v>15</v>
      </c>
      <c r="F64">
        <v>0</v>
      </c>
      <c r="G64">
        <v>0</v>
      </c>
      <c r="H64">
        <v>24</v>
      </c>
      <c r="I64">
        <v>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35">
      <c r="A65" t="s">
        <v>59</v>
      </c>
      <c r="B65">
        <v>1</v>
      </c>
      <c r="C65" t="s">
        <v>56</v>
      </c>
      <c r="D65">
        <v>60</v>
      </c>
      <c r="E65">
        <v>20</v>
      </c>
      <c r="F65">
        <v>0</v>
      </c>
      <c r="G65">
        <v>18</v>
      </c>
      <c r="H65">
        <v>9</v>
      </c>
      <c r="I65">
        <v>0</v>
      </c>
      <c r="J65">
        <v>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35">
      <c r="A66" t="s">
        <v>59</v>
      </c>
      <c r="B66">
        <v>2</v>
      </c>
      <c r="C66" t="s">
        <v>53</v>
      </c>
      <c r="D66">
        <v>54</v>
      </c>
      <c r="E66">
        <v>13</v>
      </c>
      <c r="F66">
        <v>0</v>
      </c>
      <c r="G66">
        <v>0</v>
      </c>
      <c r="H66">
        <v>18</v>
      </c>
      <c r="I66">
        <v>10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35">
      <c r="A67" t="s">
        <v>59</v>
      </c>
      <c r="B67">
        <v>2</v>
      </c>
      <c r="C67" t="s">
        <v>54</v>
      </c>
      <c r="D67">
        <v>39</v>
      </c>
      <c r="E67">
        <v>26</v>
      </c>
      <c r="F67">
        <v>0</v>
      </c>
      <c r="G67">
        <v>7</v>
      </c>
      <c r="H67">
        <v>38</v>
      </c>
      <c r="I67">
        <v>13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35">
      <c r="A68" t="s">
        <v>59</v>
      </c>
      <c r="B68">
        <v>2</v>
      </c>
      <c r="C68" t="s">
        <v>55</v>
      </c>
      <c r="D68">
        <v>86</v>
      </c>
      <c r="E68">
        <v>33</v>
      </c>
      <c r="F68">
        <v>0</v>
      </c>
      <c r="G68">
        <v>0</v>
      </c>
      <c r="H68">
        <v>38</v>
      </c>
      <c r="I68">
        <v>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35">
      <c r="A69" t="s">
        <v>59</v>
      </c>
      <c r="B69">
        <v>2</v>
      </c>
      <c r="C69" t="s">
        <v>56</v>
      </c>
      <c r="D69">
        <v>25</v>
      </c>
      <c r="E69">
        <v>19</v>
      </c>
      <c r="F69">
        <v>0</v>
      </c>
      <c r="G69">
        <v>0</v>
      </c>
      <c r="H69">
        <v>11</v>
      </c>
      <c r="I69">
        <v>15</v>
      </c>
      <c r="J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35">
      <c r="A70" t="s">
        <v>59</v>
      </c>
      <c r="B70">
        <v>3</v>
      </c>
      <c r="C70" t="s">
        <v>53</v>
      </c>
      <c r="D70">
        <v>49</v>
      </c>
      <c r="E70">
        <v>29</v>
      </c>
      <c r="F70">
        <v>0</v>
      </c>
      <c r="G70">
        <v>0</v>
      </c>
      <c r="H70">
        <v>40</v>
      </c>
      <c r="I70">
        <v>15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35">
      <c r="A71" t="s">
        <v>59</v>
      </c>
      <c r="B71">
        <v>3</v>
      </c>
      <c r="C71" t="s">
        <v>54</v>
      </c>
      <c r="D71">
        <v>37</v>
      </c>
      <c r="E71">
        <v>28</v>
      </c>
      <c r="F71">
        <v>0</v>
      </c>
      <c r="G71">
        <v>0</v>
      </c>
      <c r="H71">
        <v>8</v>
      </c>
      <c r="I71">
        <v>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35">
      <c r="A72" t="s">
        <v>59</v>
      </c>
      <c r="B72">
        <v>3</v>
      </c>
      <c r="C72" t="s">
        <v>55</v>
      </c>
      <c r="D72">
        <v>37</v>
      </c>
      <c r="E72">
        <v>28</v>
      </c>
      <c r="F72">
        <v>0</v>
      </c>
      <c r="G72">
        <v>0</v>
      </c>
      <c r="H72">
        <v>8</v>
      </c>
      <c r="I72">
        <v>14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35">
      <c r="A73" t="s">
        <v>59</v>
      </c>
      <c r="B73">
        <v>3</v>
      </c>
      <c r="C73" t="s">
        <v>56</v>
      </c>
      <c r="D73">
        <v>42</v>
      </c>
      <c r="E73">
        <v>10</v>
      </c>
      <c r="F73">
        <v>0</v>
      </c>
      <c r="G73">
        <v>0</v>
      </c>
      <c r="H73">
        <v>13</v>
      </c>
      <c r="I73">
        <v>0</v>
      </c>
      <c r="J73">
        <v>29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35">
      <c r="A74" t="s">
        <v>59</v>
      </c>
      <c r="B74">
        <v>4</v>
      </c>
      <c r="C74" t="s">
        <v>53</v>
      </c>
      <c r="D74">
        <v>44</v>
      </c>
      <c r="E74">
        <v>8</v>
      </c>
      <c r="F74">
        <v>0</v>
      </c>
      <c r="G74">
        <v>8</v>
      </c>
      <c r="H74">
        <v>13</v>
      </c>
      <c r="I74">
        <v>13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35">
      <c r="A75" t="s">
        <v>59</v>
      </c>
      <c r="B75">
        <v>4</v>
      </c>
      <c r="C75" t="s">
        <v>54</v>
      </c>
      <c r="D75">
        <v>37</v>
      </c>
      <c r="E75">
        <v>15</v>
      </c>
      <c r="F75">
        <v>0</v>
      </c>
      <c r="G75">
        <v>0</v>
      </c>
      <c r="H75">
        <v>23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12</v>
      </c>
      <c r="T75">
        <v>0</v>
      </c>
      <c r="U75">
        <v>0</v>
      </c>
      <c r="V75">
        <v>9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35">
      <c r="A76" t="s">
        <v>59</v>
      </c>
      <c r="B76">
        <v>4</v>
      </c>
      <c r="C76" t="s">
        <v>55</v>
      </c>
      <c r="D76">
        <v>42</v>
      </c>
      <c r="E76">
        <v>13</v>
      </c>
      <c r="F76">
        <v>0</v>
      </c>
      <c r="G76">
        <v>0</v>
      </c>
      <c r="H76">
        <v>16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35">
      <c r="A77" t="s">
        <v>59</v>
      </c>
      <c r="B77">
        <v>4</v>
      </c>
      <c r="C77" t="s">
        <v>56</v>
      </c>
      <c r="D77">
        <v>33</v>
      </c>
      <c r="E77">
        <v>0</v>
      </c>
      <c r="F77">
        <v>0</v>
      </c>
      <c r="G77">
        <v>0</v>
      </c>
      <c r="H77">
        <v>25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13</v>
      </c>
      <c r="T77">
        <v>0</v>
      </c>
      <c r="U77">
        <v>0</v>
      </c>
      <c r="V77">
        <v>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35">
      <c r="A78" t="s">
        <v>59</v>
      </c>
      <c r="B78">
        <v>5</v>
      </c>
      <c r="C78" t="s">
        <v>53</v>
      </c>
      <c r="D78">
        <v>38</v>
      </c>
      <c r="E78">
        <v>0</v>
      </c>
      <c r="F78">
        <v>0</v>
      </c>
      <c r="G78">
        <v>0</v>
      </c>
      <c r="H78">
        <v>35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13</v>
      </c>
      <c r="T78">
        <v>0</v>
      </c>
      <c r="U78">
        <v>0</v>
      </c>
      <c r="V78">
        <v>10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35">
      <c r="A79" t="s">
        <v>59</v>
      </c>
      <c r="B79">
        <v>5</v>
      </c>
      <c r="C79" t="s">
        <v>54</v>
      </c>
      <c r="D79">
        <v>33</v>
      </c>
      <c r="E79">
        <v>0</v>
      </c>
      <c r="F79">
        <v>5</v>
      </c>
      <c r="G79">
        <v>0</v>
      </c>
      <c r="H79">
        <v>25</v>
      </c>
      <c r="I79">
        <v>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35">
      <c r="A80" t="s">
        <v>59</v>
      </c>
      <c r="B80">
        <v>5</v>
      </c>
      <c r="C80" t="s">
        <v>55</v>
      </c>
      <c r="D80">
        <v>49</v>
      </c>
      <c r="E80">
        <v>0</v>
      </c>
      <c r="F80">
        <v>0</v>
      </c>
      <c r="G80">
        <v>0</v>
      </c>
      <c r="H80">
        <v>22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10</v>
      </c>
      <c r="T80">
        <v>0</v>
      </c>
      <c r="U80">
        <v>0</v>
      </c>
      <c r="V80">
        <v>11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35">
      <c r="A81" t="s">
        <v>59</v>
      </c>
      <c r="B81">
        <v>5</v>
      </c>
      <c r="C81" t="s">
        <v>56</v>
      </c>
      <c r="D81">
        <v>52</v>
      </c>
      <c r="E81">
        <v>0</v>
      </c>
      <c r="F81">
        <v>11</v>
      </c>
      <c r="G81">
        <v>12</v>
      </c>
      <c r="H81">
        <v>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11</v>
      </c>
      <c r="T81">
        <v>0</v>
      </c>
      <c r="U81">
        <v>0</v>
      </c>
      <c r="V81">
        <v>11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35">
      <c r="A82" t="s">
        <v>60</v>
      </c>
      <c r="B82">
        <v>1</v>
      </c>
      <c r="C82" t="s">
        <v>53</v>
      </c>
      <c r="D82">
        <v>39</v>
      </c>
      <c r="E82">
        <v>0</v>
      </c>
      <c r="F82">
        <v>0</v>
      </c>
      <c r="G82">
        <v>0</v>
      </c>
      <c r="H82">
        <v>6</v>
      </c>
      <c r="I82">
        <v>13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35">
      <c r="A83" t="s">
        <v>60</v>
      </c>
      <c r="B83">
        <v>1</v>
      </c>
      <c r="C83" t="s">
        <v>54</v>
      </c>
      <c r="D83">
        <v>31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21</v>
      </c>
      <c r="Q83">
        <v>0</v>
      </c>
      <c r="R83">
        <v>0</v>
      </c>
      <c r="S83">
        <v>54</v>
      </c>
      <c r="T83">
        <v>0</v>
      </c>
      <c r="U83">
        <v>0</v>
      </c>
      <c r="V83">
        <v>0</v>
      </c>
      <c r="W83">
        <v>0</v>
      </c>
      <c r="X83">
        <v>0</v>
      </c>
      <c r="Y83">
        <v>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35">
      <c r="A84" t="s">
        <v>60</v>
      </c>
      <c r="B84">
        <v>1</v>
      </c>
      <c r="C84" t="s">
        <v>55</v>
      </c>
      <c r="D84">
        <v>90</v>
      </c>
      <c r="E84">
        <v>0</v>
      </c>
      <c r="F84">
        <v>0</v>
      </c>
      <c r="G84">
        <v>0</v>
      </c>
      <c r="H84">
        <v>14</v>
      </c>
      <c r="I84">
        <v>31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37</v>
      </c>
      <c r="T84">
        <v>0</v>
      </c>
      <c r="U84">
        <v>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35">
      <c r="A85" t="s">
        <v>60</v>
      </c>
      <c r="B85">
        <v>1</v>
      </c>
      <c r="C85" t="s">
        <v>56</v>
      </c>
      <c r="D85">
        <v>36</v>
      </c>
      <c r="E85">
        <v>0</v>
      </c>
      <c r="F85">
        <v>0</v>
      </c>
      <c r="G85">
        <v>3</v>
      </c>
      <c r="H85">
        <v>0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13</v>
      </c>
      <c r="Q85">
        <v>0</v>
      </c>
      <c r="R85">
        <v>0</v>
      </c>
      <c r="S85">
        <v>52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0</v>
      </c>
      <c r="AA85">
        <v>0</v>
      </c>
      <c r="AB85">
        <v>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35">
      <c r="A86" t="s">
        <v>60</v>
      </c>
      <c r="B86">
        <v>2</v>
      </c>
      <c r="C86" t="s">
        <v>53</v>
      </c>
      <c r="D86">
        <v>48</v>
      </c>
      <c r="E86">
        <v>7</v>
      </c>
      <c r="F86">
        <v>0</v>
      </c>
      <c r="G86">
        <v>0</v>
      </c>
      <c r="H86">
        <v>29</v>
      </c>
      <c r="I86">
        <v>17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35">
      <c r="A87" t="s">
        <v>60</v>
      </c>
      <c r="B87">
        <v>2</v>
      </c>
      <c r="C87" t="s">
        <v>54</v>
      </c>
      <c r="D87">
        <v>52</v>
      </c>
      <c r="E87">
        <v>12</v>
      </c>
      <c r="F87">
        <v>0</v>
      </c>
      <c r="G87">
        <v>0</v>
      </c>
      <c r="H87">
        <v>26</v>
      </c>
      <c r="I87">
        <v>19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35">
      <c r="A88" t="s">
        <v>60</v>
      </c>
      <c r="B88">
        <v>2</v>
      </c>
      <c r="C88" t="s">
        <v>55</v>
      </c>
      <c r="D88">
        <v>59</v>
      </c>
      <c r="E88">
        <v>0</v>
      </c>
      <c r="F88">
        <v>0</v>
      </c>
      <c r="G88">
        <v>0</v>
      </c>
      <c r="H88">
        <v>22</v>
      </c>
      <c r="I88">
        <v>16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70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35">
      <c r="A89" t="s">
        <v>60</v>
      </c>
      <c r="B89">
        <v>2</v>
      </c>
      <c r="C89" t="s">
        <v>56</v>
      </c>
      <c r="D89">
        <v>47</v>
      </c>
      <c r="E89">
        <v>11</v>
      </c>
      <c r="F89">
        <v>0</v>
      </c>
      <c r="G89">
        <v>0</v>
      </c>
      <c r="H89">
        <v>11</v>
      </c>
      <c r="I89">
        <v>17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51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35">
      <c r="A90" t="s">
        <v>60</v>
      </c>
      <c r="B90">
        <v>3</v>
      </c>
      <c r="C90" t="s">
        <v>53</v>
      </c>
      <c r="D90">
        <v>44</v>
      </c>
      <c r="E90">
        <v>8</v>
      </c>
      <c r="F90">
        <v>0</v>
      </c>
      <c r="G90">
        <v>0</v>
      </c>
      <c r="H90">
        <v>8</v>
      </c>
      <c r="I90">
        <v>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35">
      <c r="A91" t="s">
        <v>60</v>
      </c>
      <c r="B91">
        <v>3</v>
      </c>
      <c r="C91" t="s">
        <v>54</v>
      </c>
      <c r="D91">
        <v>22</v>
      </c>
      <c r="E91">
        <v>3</v>
      </c>
      <c r="F91">
        <v>0</v>
      </c>
      <c r="G91">
        <v>0</v>
      </c>
      <c r="H91">
        <v>10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28</v>
      </c>
      <c r="T91">
        <v>0</v>
      </c>
      <c r="U91">
        <v>2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2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35">
      <c r="A92" t="s">
        <v>60</v>
      </c>
      <c r="B92">
        <v>3</v>
      </c>
      <c r="C92" t="s">
        <v>55</v>
      </c>
      <c r="D92">
        <v>51</v>
      </c>
      <c r="E92">
        <v>0</v>
      </c>
      <c r="F92">
        <v>0</v>
      </c>
      <c r="G92">
        <v>0</v>
      </c>
      <c r="H92">
        <v>22</v>
      </c>
      <c r="I92">
        <v>12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23</v>
      </c>
      <c r="T92">
        <v>0</v>
      </c>
      <c r="U92">
        <v>0</v>
      </c>
      <c r="V92">
        <v>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35">
      <c r="A93" t="s">
        <v>60</v>
      </c>
      <c r="B93">
        <v>3</v>
      </c>
      <c r="C93" t="s">
        <v>56</v>
      </c>
      <c r="D93">
        <v>69</v>
      </c>
      <c r="E93">
        <v>0</v>
      </c>
      <c r="F93">
        <v>0</v>
      </c>
      <c r="G93">
        <v>0</v>
      </c>
      <c r="H93">
        <v>14</v>
      </c>
      <c r="I93">
        <v>0</v>
      </c>
      <c r="J93">
        <v>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27</v>
      </c>
      <c r="T93">
        <v>0</v>
      </c>
      <c r="U93">
        <v>10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35">
      <c r="A94" t="s">
        <v>60</v>
      </c>
      <c r="B94">
        <v>4</v>
      </c>
      <c r="C94" t="s">
        <v>53</v>
      </c>
      <c r="D94">
        <v>78</v>
      </c>
      <c r="E94">
        <v>0</v>
      </c>
      <c r="F94">
        <v>0</v>
      </c>
      <c r="G94">
        <v>0</v>
      </c>
      <c r="H94">
        <v>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35">
      <c r="A95" t="s">
        <v>60</v>
      </c>
      <c r="B95">
        <v>4</v>
      </c>
      <c r="C95" t="s">
        <v>54</v>
      </c>
      <c r="D95">
        <v>41</v>
      </c>
      <c r="E95">
        <v>0</v>
      </c>
      <c r="F95">
        <v>0</v>
      </c>
      <c r="G95">
        <v>0</v>
      </c>
      <c r="H95">
        <v>20</v>
      </c>
      <c r="I95">
        <v>10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16</v>
      </c>
      <c r="Q95">
        <v>0</v>
      </c>
      <c r="R95">
        <v>0</v>
      </c>
      <c r="S95">
        <v>30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35">
      <c r="A96" t="s">
        <v>60</v>
      </c>
      <c r="B96">
        <v>4</v>
      </c>
      <c r="C96" t="s">
        <v>55</v>
      </c>
      <c r="D96">
        <v>50</v>
      </c>
      <c r="E96">
        <v>0</v>
      </c>
      <c r="F96">
        <v>0</v>
      </c>
      <c r="G96">
        <v>0</v>
      </c>
      <c r="H96">
        <v>14</v>
      </c>
      <c r="I96">
        <v>5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35">
      <c r="A97" t="s">
        <v>60</v>
      </c>
      <c r="B97">
        <v>4</v>
      </c>
      <c r="C97" t="s">
        <v>56</v>
      </c>
      <c r="D97">
        <v>46</v>
      </c>
      <c r="E97">
        <v>0</v>
      </c>
      <c r="F97">
        <v>0</v>
      </c>
      <c r="G97">
        <v>0</v>
      </c>
      <c r="H97">
        <v>24</v>
      </c>
      <c r="I97">
        <v>17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35">
      <c r="A98" t="s">
        <v>60</v>
      </c>
      <c r="B98">
        <v>5</v>
      </c>
      <c r="C98" t="s">
        <v>53</v>
      </c>
      <c r="D98">
        <v>60</v>
      </c>
      <c r="E98">
        <v>22</v>
      </c>
      <c r="F98">
        <v>16</v>
      </c>
      <c r="G98">
        <v>0</v>
      </c>
      <c r="H98">
        <v>0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35">
      <c r="A99" t="s">
        <v>60</v>
      </c>
      <c r="B99">
        <v>5</v>
      </c>
      <c r="C99" t="s">
        <v>54</v>
      </c>
      <c r="D99">
        <v>34</v>
      </c>
      <c r="E99">
        <v>0</v>
      </c>
      <c r="F99">
        <v>6</v>
      </c>
      <c r="G99">
        <v>0</v>
      </c>
      <c r="H99">
        <v>10</v>
      </c>
      <c r="I99">
        <v>10</v>
      </c>
      <c r="J99">
        <v>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35">
      <c r="A100" t="s">
        <v>60</v>
      </c>
      <c r="B100">
        <v>5</v>
      </c>
      <c r="C100" t="s">
        <v>55</v>
      </c>
      <c r="D100">
        <v>48</v>
      </c>
      <c r="E100">
        <v>0</v>
      </c>
      <c r="F100">
        <v>13</v>
      </c>
      <c r="G100">
        <v>0</v>
      </c>
      <c r="H100">
        <v>16</v>
      </c>
      <c r="I100">
        <v>14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35">
      <c r="A101" t="s">
        <v>60</v>
      </c>
      <c r="B101">
        <v>5</v>
      </c>
      <c r="C101" t="s">
        <v>56</v>
      </c>
      <c r="D101">
        <v>63</v>
      </c>
      <c r="E101">
        <v>11</v>
      </c>
      <c r="F101">
        <v>0</v>
      </c>
      <c r="G101">
        <v>0</v>
      </c>
      <c r="H101">
        <v>21</v>
      </c>
      <c r="I101">
        <v>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35">
      <c r="A102" t="s">
        <v>61</v>
      </c>
      <c r="B102">
        <v>1</v>
      </c>
      <c r="C102" t="s">
        <v>53</v>
      </c>
      <c r="D102">
        <v>17</v>
      </c>
      <c r="E102">
        <v>11</v>
      </c>
      <c r="F102">
        <v>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35">
      <c r="A103" t="s">
        <v>61</v>
      </c>
      <c r="B103">
        <v>1</v>
      </c>
      <c r="C103" t="s">
        <v>54</v>
      </c>
      <c r="D103">
        <v>12</v>
      </c>
      <c r="E103">
        <v>32</v>
      </c>
      <c r="F103">
        <v>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35">
      <c r="A104" t="s">
        <v>61</v>
      </c>
      <c r="B104">
        <v>1</v>
      </c>
      <c r="C104" t="s">
        <v>55</v>
      </c>
      <c r="D104">
        <v>10</v>
      </c>
      <c r="E104">
        <v>16</v>
      </c>
      <c r="F104">
        <v>0</v>
      </c>
      <c r="G104">
        <v>0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35">
      <c r="A105" t="s">
        <v>61</v>
      </c>
      <c r="B105">
        <v>1</v>
      </c>
      <c r="C105" t="s">
        <v>56</v>
      </c>
      <c r="D105">
        <v>7</v>
      </c>
      <c r="E105">
        <v>8</v>
      </c>
      <c r="F105">
        <v>11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35">
      <c r="A106" t="s">
        <v>61</v>
      </c>
      <c r="B106">
        <v>2</v>
      </c>
      <c r="C106" t="s">
        <v>53</v>
      </c>
      <c r="D106">
        <v>17</v>
      </c>
      <c r="E106">
        <v>10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35">
      <c r="A107" t="s">
        <v>61</v>
      </c>
      <c r="B107">
        <v>2</v>
      </c>
      <c r="C107" t="s">
        <v>54</v>
      </c>
      <c r="D107">
        <v>40</v>
      </c>
      <c r="E107">
        <v>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3</v>
      </c>
      <c r="AB107">
        <v>2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</v>
      </c>
      <c r="AN107">
        <v>2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35">
      <c r="A108" t="s">
        <v>61</v>
      </c>
      <c r="B108">
        <v>2</v>
      </c>
      <c r="C108" t="s">
        <v>55</v>
      </c>
      <c r="D108">
        <v>15</v>
      </c>
      <c r="E108">
        <v>7</v>
      </c>
      <c r="F108">
        <v>0</v>
      </c>
      <c r="G108">
        <v>5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</v>
      </c>
      <c r="AF108">
        <v>6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35">
      <c r="A109" t="s">
        <v>61</v>
      </c>
      <c r="B109">
        <v>2</v>
      </c>
      <c r="C109" t="s">
        <v>56</v>
      </c>
      <c r="D109">
        <v>29</v>
      </c>
      <c r="E109">
        <v>62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2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35">
      <c r="A110" t="s">
        <v>61</v>
      </c>
      <c r="B110">
        <v>3</v>
      </c>
      <c r="C110" t="s">
        <v>53</v>
      </c>
      <c r="D110">
        <v>45</v>
      </c>
      <c r="E110">
        <v>108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35">
      <c r="A111" t="s">
        <v>61</v>
      </c>
      <c r="B111">
        <v>3</v>
      </c>
      <c r="C111" t="s">
        <v>54</v>
      </c>
      <c r="D111">
        <v>44</v>
      </c>
      <c r="E111">
        <v>72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2</v>
      </c>
      <c r="AD111">
        <v>0</v>
      </c>
      <c r="AE111">
        <v>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35">
      <c r="A112" t="s">
        <v>61</v>
      </c>
      <c r="B112">
        <v>3</v>
      </c>
      <c r="C112" t="s">
        <v>55</v>
      </c>
      <c r="D112">
        <v>27</v>
      </c>
      <c r="E112">
        <v>69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35">
      <c r="A113" t="s">
        <v>61</v>
      </c>
      <c r="B113">
        <v>3</v>
      </c>
      <c r="C113" t="s">
        <v>56</v>
      </c>
      <c r="D113">
        <v>32</v>
      </c>
      <c r="E113">
        <v>67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11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>
        <v>1</v>
      </c>
      <c r="AW113">
        <v>1</v>
      </c>
      <c r="AX113">
        <v>1</v>
      </c>
      <c r="AY113">
        <v>0</v>
      </c>
      <c r="AZ113">
        <v>0</v>
      </c>
    </row>
    <row r="114" spans="1:52" x14ac:dyDescent="0.35">
      <c r="A114" t="s">
        <v>61</v>
      </c>
      <c r="B114">
        <v>4</v>
      </c>
      <c r="C114" t="s">
        <v>53</v>
      </c>
      <c r="D114">
        <v>47</v>
      </c>
      <c r="E114">
        <v>72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3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35">
      <c r="A115" t="s">
        <v>61</v>
      </c>
      <c r="B115">
        <v>4</v>
      </c>
      <c r="C115" t="s">
        <v>54</v>
      </c>
      <c r="D115">
        <v>31</v>
      </c>
      <c r="E115">
        <v>67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35">
      <c r="A116" t="s">
        <v>61</v>
      </c>
      <c r="B116">
        <v>4</v>
      </c>
      <c r="C116" t="s">
        <v>55</v>
      </c>
      <c r="D116">
        <v>12</v>
      </c>
      <c r="E116">
        <v>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35">
      <c r="A117" t="s">
        <v>61</v>
      </c>
      <c r="B117">
        <v>4</v>
      </c>
      <c r="C117" t="s">
        <v>56</v>
      </c>
      <c r="D117">
        <v>41</v>
      </c>
      <c r="E117">
        <v>134</v>
      </c>
      <c r="F117">
        <v>0</v>
      </c>
      <c r="G117">
        <v>0</v>
      </c>
      <c r="H117">
        <v>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3</v>
      </c>
      <c r="AZ117">
        <v>0</v>
      </c>
    </row>
    <row r="118" spans="1:52" x14ac:dyDescent="0.35">
      <c r="A118" t="s">
        <v>61</v>
      </c>
      <c r="B118">
        <v>5</v>
      </c>
      <c r="C118" t="s">
        <v>53</v>
      </c>
      <c r="D118">
        <v>18</v>
      </c>
      <c r="E118">
        <v>17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3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0</v>
      </c>
      <c r="AZ118">
        <v>0</v>
      </c>
    </row>
    <row r="119" spans="1:52" x14ac:dyDescent="0.35">
      <c r="A119" t="s">
        <v>61</v>
      </c>
      <c r="B119">
        <v>5</v>
      </c>
      <c r="C119" t="s">
        <v>54</v>
      </c>
      <c r="D119">
        <v>32</v>
      </c>
      <c r="E119">
        <v>33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0</v>
      </c>
      <c r="X119">
        <v>0</v>
      </c>
      <c r="Y119">
        <v>9</v>
      </c>
      <c r="Z119">
        <v>0</v>
      </c>
      <c r="AA119">
        <v>0</v>
      </c>
      <c r="AB119">
        <v>13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35">
      <c r="A120" t="s">
        <v>61</v>
      </c>
      <c r="B120">
        <v>5</v>
      </c>
      <c r="C120" t="s">
        <v>55</v>
      </c>
      <c r="D120">
        <v>10</v>
      </c>
      <c r="E120">
        <v>40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</v>
      </c>
    </row>
    <row r="121" spans="1:52" x14ac:dyDescent="0.35">
      <c r="A121" t="s">
        <v>61</v>
      </c>
      <c r="B121">
        <v>5</v>
      </c>
      <c r="C121" t="s">
        <v>56</v>
      </c>
      <c r="D121">
        <v>44</v>
      </c>
      <c r="E121">
        <v>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</v>
      </c>
      <c r="AZ121">
        <v>0</v>
      </c>
    </row>
  </sheetData>
  <sortState xmlns:xlrd2="http://schemas.microsoft.com/office/spreadsheetml/2017/richdata2" ref="A2:AZ121">
    <sortCondition sortBy="icon" ref="E1:E12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7B54-8443-4A54-A065-065D699E9357}">
  <dimension ref="A1:N50"/>
  <sheetViews>
    <sheetView tabSelected="1" topLeftCell="B1" workbookViewId="0">
      <selection activeCell="E5" sqref="E5"/>
    </sheetView>
  </sheetViews>
  <sheetFormatPr defaultRowHeight="14.5" x14ac:dyDescent="0.35"/>
  <cols>
    <col min="1" max="2" width="24.1796875" customWidth="1"/>
    <col min="3" max="3" width="18.54296875" style="3" customWidth="1"/>
  </cols>
  <sheetData>
    <row r="1" spans="1:14" s="1" customFormat="1" x14ac:dyDescent="0.35">
      <c r="A1" s="1" t="s">
        <v>62</v>
      </c>
      <c r="B1" s="1" t="s">
        <v>94</v>
      </c>
      <c r="C1" s="2" t="s">
        <v>63</v>
      </c>
      <c r="L1" s="1" t="s">
        <v>67</v>
      </c>
    </row>
    <row r="2" spans="1:14" x14ac:dyDescent="0.35">
      <c r="A2" t="s">
        <v>4</v>
      </c>
      <c r="B2">
        <v>24</v>
      </c>
      <c r="C2" s="3">
        <f>24/120*100</f>
        <v>20</v>
      </c>
      <c r="L2" s="1" t="s">
        <v>64</v>
      </c>
      <c r="M2" s="1" t="s">
        <v>65</v>
      </c>
      <c r="N2" s="1" t="s">
        <v>66</v>
      </c>
    </row>
    <row r="3" spans="1:14" x14ac:dyDescent="0.35">
      <c r="A3" t="s">
        <v>12</v>
      </c>
      <c r="B3">
        <v>51</v>
      </c>
      <c r="C3" s="3">
        <f>51/120*100</f>
        <v>42.5</v>
      </c>
      <c r="L3" t="s">
        <v>52</v>
      </c>
      <c r="M3">
        <v>1</v>
      </c>
      <c r="N3" t="s">
        <v>54</v>
      </c>
    </row>
    <row r="4" spans="1:14" x14ac:dyDescent="0.35">
      <c r="A4" t="s">
        <v>9</v>
      </c>
      <c r="B4">
        <v>69</v>
      </c>
      <c r="C4" s="3">
        <f>69/120*100</f>
        <v>57.499999999999993</v>
      </c>
      <c r="L4" t="s">
        <v>52</v>
      </c>
      <c r="M4">
        <v>2</v>
      </c>
      <c r="N4" t="s">
        <v>53</v>
      </c>
    </row>
    <row r="5" spans="1:14" x14ac:dyDescent="0.35">
      <c r="A5" t="s">
        <v>6</v>
      </c>
      <c r="B5">
        <v>72</v>
      </c>
      <c r="C5" s="3">
        <f>72/120*100</f>
        <v>60</v>
      </c>
      <c r="L5" t="s">
        <v>52</v>
      </c>
      <c r="M5">
        <v>2</v>
      </c>
      <c r="N5" t="s">
        <v>54</v>
      </c>
    </row>
    <row r="6" spans="1:14" x14ac:dyDescent="0.35">
      <c r="A6" t="s">
        <v>11</v>
      </c>
      <c r="B6">
        <v>73</v>
      </c>
      <c r="C6" s="3">
        <f>73/120*100</f>
        <v>60.833333333333329</v>
      </c>
      <c r="L6" t="s">
        <v>52</v>
      </c>
      <c r="M6">
        <v>2</v>
      </c>
      <c r="N6" t="s">
        <v>56</v>
      </c>
    </row>
    <row r="7" spans="1:14" x14ac:dyDescent="0.35">
      <c r="A7" t="s">
        <v>5</v>
      </c>
      <c r="B7">
        <v>76</v>
      </c>
      <c r="C7" s="3">
        <f>76/120*100</f>
        <v>63.333333333333329</v>
      </c>
      <c r="L7" t="s">
        <v>52</v>
      </c>
      <c r="M7">
        <v>3</v>
      </c>
      <c r="N7" t="s">
        <v>53</v>
      </c>
    </row>
    <row r="8" spans="1:14" x14ac:dyDescent="0.35">
      <c r="A8" t="s">
        <v>3</v>
      </c>
      <c r="B8">
        <v>80</v>
      </c>
      <c r="C8" s="3">
        <f>80/120*100</f>
        <v>66.666666666666657</v>
      </c>
      <c r="L8" t="s">
        <v>52</v>
      </c>
      <c r="M8">
        <v>3</v>
      </c>
      <c r="N8" t="s">
        <v>55</v>
      </c>
    </row>
    <row r="9" spans="1:14" x14ac:dyDescent="0.35">
      <c r="A9" t="s">
        <v>7</v>
      </c>
      <c r="B9">
        <v>92</v>
      </c>
      <c r="C9" s="3">
        <f>92/120*100</f>
        <v>76.666666666666671</v>
      </c>
      <c r="L9" t="s">
        <v>52</v>
      </c>
      <c r="M9">
        <v>3</v>
      </c>
      <c r="N9" t="s">
        <v>56</v>
      </c>
    </row>
    <row r="10" spans="1:14" x14ac:dyDescent="0.35">
      <c r="A10" t="s">
        <v>8</v>
      </c>
      <c r="B10">
        <v>93</v>
      </c>
      <c r="C10" s="3">
        <f>93/120*100</f>
        <v>77.5</v>
      </c>
      <c r="L10" t="s">
        <v>57</v>
      </c>
      <c r="M10">
        <v>1</v>
      </c>
      <c r="N10" t="s">
        <v>53</v>
      </c>
    </row>
    <row r="11" spans="1:14" x14ac:dyDescent="0.35">
      <c r="A11" t="s">
        <v>10</v>
      </c>
      <c r="B11">
        <v>94</v>
      </c>
      <c r="C11" s="3">
        <f>94/120*100</f>
        <v>78.333333333333329</v>
      </c>
      <c r="L11" t="s">
        <v>57</v>
      </c>
      <c r="M11">
        <v>1</v>
      </c>
      <c r="N11" t="s">
        <v>54</v>
      </c>
    </row>
    <row r="12" spans="1:14" x14ac:dyDescent="0.35">
      <c r="A12" t="s">
        <v>13</v>
      </c>
      <c r="B12">
        <v>97</v>
      </c>
      <c r="C12" s="3">
        <f>97/120*100</f>
        <v>80.833333333333329</v>
      </c>
      <c r="L12" t="s">
        <v>57</v>
      </c>
      <c r="M12">
        <v>1</v>
      </c>
      <c r="N12" t="s">
        <v>55</v>
      </c>
    </row>
    <row r="13" spans="1:14" x14ac:dyDescent="0.35">
      <c r="A13" t="s">
        <v>14</v>
      </c>
      <c r="B13">
        <v>99</v>
      </c>
      <c r="C13" s="3">
        <f>99/120*100</f>
        <v>82.5</v>
      </c>
      <c r="L13" t="s">
        <v>57</v>
      </c>
      <c r="M13">
        <v>1</v>
      </c>
      <c r="N13" t="s">
        <v>56</v>
      </c>
    </row>
    <row r="14" spans="1:14" x14ac:dyDescent="0.35">
      <c r="A14" t="s">
        <v>15</v>
      </c>
      <c r="B14">
        <v>101</v>
      </c>
      <c r="C14" s="3">
        <f>101/120*100</f>
        <v>84.166666666666671</v>
      </c>
      <c r="L14" t="s">
        <v>57</v>
      </c>
      <c r="M14">
        <v>2</v>
      </c>
      <c r="N14" t="s">
        <v>53</v>
      </c>
    </row>
    <row r="15" spans="1:14" x14ac:dyDescent="0.35">
      <c r="A15" t="s">
        <v>17</v>
      </c>
      <c r="B15">
        <v>104</v>
      </c>
      <c r="C15" s="3">
        <f>104/120*100</f>
        <v>86.666666666666671</v>
      </c>
      <c r="L15" t="s">
        <v>57</v>
      </c>
      <c r="M15">
        <v>2</v>
      </c>
      <c r="N15" t="s">
        <v>54</v>
      </c>
    </row>
    <row r="16" spans="1:14" x14ac:dyDescent="0.35">
      <c r="A16" t="s">
        <v>18</v>
      </c>
      <c r="B16">
        <v>104</v>
      </c>
      <c r="C16" s="3">
        <f>104/120*100</f>
        <v>86.666666666666671</v>
      </c>
      <c r="L16" t="s">
        <v>57</v>
      </c>
      <c r="M16">
        <v>2</v>
      </c>
      <c r="N16" t="s">
        <v>55</v>
      </c>
    </row>
    <row r="17" spans="1:14" x14ac:dyDescent="0.35">
      <c r="A17" t="s">
        <v>19</v>
      </c>
      <c r="B17">
        <v>105</v>
      </c>
      <c r="C17" s="3">
        <f>105/120*100</f>
        <v>87.5</v>
      </c>
      <c r="L17" t="s">
        <v>57</v>
      </c>
      <c r="M17">
        <v>3</v>
      </c>
      <c r="N17" t="s">
        <v>53</v>
      </c>
    </row>
    <row r="18" spans="1:14" x14ac:dyDescent="0.35">
      <c r="A18" t="s">
        <v>20</v>
      </c>
      <c r="B18">
        <v>105</v>
      </c>
      <c r="C18" s="3">
        <f>106/120*100</f>
        <v>88.333333333333329</v>
      </c>
      <c r="L18" t="s">
        <v>57</v>
      </c>
      <c r="M18">
        <v>3</v>
      </c>
      <c r="N18" t="s">
        <v>54</v>
      </c>
    </row>
    <row r="19" spans="1:14" x14ac:dyDescent="0.35">
      <c r="A19" t="s">
        <v>21</v>
      </c>
      <c r="B19">
        <v>112</v>
      </c>
      <c r="C19" s="3">
        <f>112/120*100</f>
        <v>93.333333333333329</v>
      </c>
      <c r="L19" t="s">
        <v>57</v>
      </c>
      <c r="M19">
        <v>3</v>
      </c>
      <c r="N19" t="s">
        <v>55</v>
      </c>
    </row>
    <row r="20" spans="1:14" x14ac:dyDescent="0.35">
      <c r="A20" t="s">
        <v>22</v>
      </c>
      <c r="B20">
        <v>114</v>
      </c>
      <c r="C20" s="3">
        <f>114/120*100</f>
        <v>95</v>
      </c>
      <c r="L20" t="s">
        <v>57</v>
      </c>
      <c r="M20">
        <v>3</v>
      </c>
      <c r="N20" t="s">
        <v>56</v>
      </c>
    </row>
    <row r="21" spans="1:14" x14ac:dyDescent="0.35">
      <c r="A21" t="s">
        <v>23</v>
      </c>
      <c r="B21">
        <v>115</v>
      </c>
      <c r="C21" s="3">
        <f>115/120*100</f>
        <v>95.833333333333343</v>
      </c>
      <c r="L21" t="s">
        <v>57</v>
      </c>
      <c r="M21">
        <v>4</v>
      </c>
      <c r="N21" t="s">
        <v>53</v>
      </c>
    </row>
    <row r="22" spans="1:14" x14ac:dyDescent="0.35">
      <c r="A22" t="s">
        <v>24</v>
      </c>
      <c r="B22">
        <v>116</v>
      </c>
      <c r="C22" s="3">
        <f>116/120*100</f>
        <v>96.666666666666671</v>
      </c>
      <c r="L22" t="s">
        <v>57</v>
      </c>
      <c r="M22">
        <v>4</v>
      </c>
      <c r="N22" t="s">
        <v>54</v>
      </c>
    </row>
    <row r="23" spans="1:14" x14ac:dyDescent="0.35">
      <c r="A23" t="s">
        <v>25</v>
      </c>
      <c r="B23">
        <v>116</v>
      </c>
      <c r="C23" s="3">
        <f>116/120*100</f>
        <v>96.666666666666671</v>
      </c>
      <c r="L23" t="s">
        <v>57</v>
      </c>
      <c r="M23">
        <v>5</v>
      </c>
      <c r="N23" t="s">
        <v>53</v>
      </c>
    </row>
    <row r="24" spans="1:14" x14ac:dyDescent="0.35">
      <c r="A24" t="s">
        <v>26</v>
      </c>
      <c r="B24">
        <v>116</v>
      </c>
      <c r="C24" s="3">
        <f>116/120*100</f>
        <v>96.666666666666671</v>
      </c>
      <c r="L24" t="s">
        <v>57</v>
      </c>
      <c r="M24">
        <v>5</v>
      </c>
      <c r="N24" t="s">
        <v>54</v>
      </c>
    </row>
    <row r="25" spans="1:14" x14ac:dyDescent="0.35">
      <c r="A25" t="s">
        <v>27</v>
      </c>
      <c r="B25">
        <v>117</v>
      </c>
      <c r="C25" s="3">
        <f>117/120*100</f>
        <v>97.5</v>
      </c>
      <c r="L25" t="s">
        <v>57</v>
      </c>
      <c r="M25">
        <v>5</v>
      </c>
      <c r="N25" t="s">
        <v>55</v>
      </c>
    </row>
    <row r="26" spans="1:14" x14ac:dyDescent="0.35">
      <c r="A26" t="s">
        <v>28</v>
      </c>
      <c r="B26">
        <v>117</v>
      </c>
      <c r="C26" s="3">
        <f>117/120*100</f>
        <v>97.5</v>
      </c>
      <c r="L26" t="s">
        <v>57</v>
      </c>
      <c r="M26">
        <v>5</v>
      </c>
      <c r="N26" t="s">
        <v>56</v>
      </c>
    </row>
    <row r="27" spans="1:14" x14ac:dyDescent="0.35">
      <c r="A27" t="s">
        <v>29</v>
      </c>
      <c r="B27">
        <v>117</v>
      </c>
      <c r="C27" s="3">
        <f>117/120*100</f>
        <v>97.5</v>
      </c>
    </row>
    <row r="28" spans="1:14" x14ac:dyDescent="0.35">
      <c r="A28" t="s">
        <v>30</v>
      </c>
      <c r="B28">
        <v>117</v>
      </c>
      <c r="C28" s="3">
        <f>117/120*100</f>
        <v>97.5</v>
      </c>
    </row>
    <row r="29" spans="1:14" x14ac:dyDescent="0.35">
      <c r="A29" t="s">
        <v>31</v>
      </c>
      <c r="B29">
        <v>117</v>
      </c>
      <c r="C29" s="3">
        <f>117/120*100</f>
        <v>97.5</v>
      </c>
    </row>
    <row r="30" spans="1:14" x14ac:dyDescent="0.35">
      <c r="A30" t="s">
        <v>32</v>
      </c>
      <c r="B30">
        <v>117</v>
      </c>
      <c r="C30" s="3">
        <f t="shared" ref="C30:C35" si="0">118/120*100</f>
        <v>98.333333333333329</v>
      </c>
    </row>
    <row r="31" spans="1:14" x14ac:dyDescent="0.35">
      <c r="A31" t="s">
        <v>33</v>
      </c>
      <c r="B31">
        <v>117</v>
      </c>
      <c r="C31" s="3">
        <f t="shared" si="0"/>
        <v>98.333333333333329</v>
      </c>
    </row>
    <row r="32" spans="1:14" x14ac:dyDescent="0.35">
      <c r="A32" t="s">
        <v>34</v>
      </c>
      <c r="B32">
        <v>117</v>
      </c>
      <c r="C32" s="3">
        <f t="shared" si="0"/>
        <v>98.333333333333329</v>
      </c>
    </row>
    <row r="33" spans="1:3" x14ac:dyDescent="0.35">
      <c r="A33" t="s">
        <v>35</v>
      </c>
      <c r="B33">
        <v>117</v>
      </c>
      <c r="C33" s="3">
        <f t="shared" si="0"/>
        <v>98.333333333333329</v>
      </c>
    </row>
    <row r="34" spans="1:3" x14ac:dyDescent="0.35">
      <c r="A34" t="s">
        <v>36</v>
      </c>
      <c r="B34">
        <v>117</v>
      </c>
      <c r="C34" s="3">
        <f t="shared" si="0"/>
        <v>98.333333333333329</v>
      </c>
    </row>
    <row r="35" spans="1:3" x14ac:dyDescent="0.35">
      <c r="A35" t="s">
        <v>37</v>
      </c>
      <c r="B35">
        <v>117</v>
      </c>
      <c r="C35" s="3">
        <f t="shared" si="0"/>
        <v>98.333333333333329</v>
      </c>
    </row>
    <row r="36" spans="1:3" x14ac:dyDescent="0.35">
      <c r="A36" t="s">
        <v>38</v>
      </c>
      <c r="B36">
        <v>119</v>
      </c>
      <c r="C36" s="3">
        <f t="shared" ref="C36:C50" si="1">119/120*100</f>
        <v>99.166666666666671</v>
      </c>
    </row>
    <row r="37" spans="1:3" x14ac:dyDescent="0.35">
      <c r="A37" t="s">
        <v>39</v>
      </c>
      <c r="B37">
        <v>119</v>
      </c>
      <c r="C37" s="3">
        <f t="shared" si="1"/>
        <v>99.166666666666671</v>
      </c>
    </row>
    <row r="38" spans="1:3" x14ac:dyDescent="0.35">
      <c r="A38" t="s">
        <v>40</v>
      </c>
      <c r="B38">
        <v>119</v>
      </c>
      <c r="C38" s="3">
        <f t="shared" si="1"/>
        <v>99.166666666666671</v>
      </c>
    </row>
    <row r="39" spans="1:3" x14ac:dyDescent="0.35">
      <c r="A39" t="s">
        <v>41</v>
      </c>
      <c r="B39">
        <v>119</v>
      </c>
      <c r="C39" s="3">
        <f t="shared" si="1"/>
        <v>99.166666666666671</v>
      </c>
    </row>
    <row r="40" spans="1:3" x14ac:dyDescent="0.35">
      <c r="A40" t="s">
        <v>42</v>
      </c>
      <c r="B40">
        <v>119</v>
      </c>
      <c r="C40" s="3">
        <f t="shared" si="1"/>
        <v>99.166666666666671</v>
      </c>
    </row>
    <row r="41" spans="1:3" x14ac:dyDescent="0.35">
      <c r="A41" t="s">
        <v>43</v>
      </c>
      <c r="B41">
        <v>119</v>
      </c>
      <c r="C41" s="3">
        <f t="shared" si="1"/>
        <v>99.166666666666671</v>
      </c>
    </row>
    <row r="42" spans="1:3" x14ac:dyDescent="0.35">
      <c r="A42" t="s">
        <v>44</v>
      </c>
      <c r="B42">
        <v>119</v>
      </c>
      <c r="C42" s="3">
        <f t="shared" si="1"/>
        <v>99.166666666666671</v>
      </c>
    </row>
    <row r="43" spans="1:3" x14ac:dyDescent="0.35">
      <c r="A43" t="s">
        <v>45</v>
      </c>
      <c r="B43">
        <v>119</v>
      </c>
      <c r="C43" s="3">
        <f t="shared" si="1"/>
        <v>99.166666666666671</v>
      </c>
    </row>
    <row r="44" spans="1:3" x14ac:dyDescent="0.35">
      <c r="A44" t="s">
        <v>45</v>
      </c>
      <c r="B44">
        <v>119</v>
      </c>
      <c r="C44" s="3">
        <f t="shared" si="1"/>
        <v>99.166666666666671</v>
      </c>
    </row>
    <row r="45" spans="1:3" x14ac:dyDescent="0.35">
      <c r="A45" t="s">
        <v>46</v>
      </c>
      <c r="B45">
        <v>119</v>
      </c>
      <c r="C45" s="3">
        <f t="shared" si="1"/>
        <v>99.166666666666671</v>
      </c>
    </row>
    <row r="46" spans="1:3" x14ac:dyDescent="0.35">
      <c r="A46" t="s">
        <v>47</v>
      </c>
      <c r="B46">
        <v>119</v>
      </c>
      <c r="C46" s="3">
        <f t="shared" si="1"/>
        <v>99.166666666666671</v>
      </c>
    </row>
    <row r="47" spans="1:3" x14ac:dyDescent="0.35">
      <c r="A47" t="s">
        <v>48</v>
      </c>
      <c r="B47">
        <v>119</v>
      </c>
      <c r="C47" s="3">
        <f t="shared" si="1"/>
        <v>99.166666666666671</v>
      </c>
    </row>
    <row r="48" spans="1:3" x14ac:dyDescent="0.35">
      <c r="A48" t="s">
        <v>49</v>
      </c>
      <c r="B48">
        <v>119</v>
      </c>
      <c r="C48" s="3">
        <f t="shared" si="1"/>
        <v>99.166666666666671</v>
      </c>
    </row>
    <row r="49" spans="1:3" x14ac:dyDescent="0.35">
      <c r="A49" t="s">
        <v>50</v>
      </c>
      <c r="B49">
        <v>119</v>
      </c>
      <c r="C49" s="3">
        <f t="shared" si="1"/>
        <v>99.166666666666671</v>
      </c>
    </row>
    <row r="50" spans="1:3" x14ac:dyDescent="0.35">
      <c r="A50" t="s">
        <v>51</v>
      </c>
      <c r="B50">
        <v>119</v>
      </c>
      <c r="C50" s="3">
        <f t="shared" si="1"/>
        <v>99.166666666666671</v>
      </c>
    </row>
  </sheetData>
  <sortState xmlns:xlrd2="http://schemas.microsoft.com/office/spreadsheetml/2017/richdata2" ref="C2:C54">
    <sortCondition ref="C1:C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8C9D-E649-43A3-8F46-E675E0B31164}">
  <dimension ref="A1:E139"/>
  <sheetViews>
    <sheetView workbookViewId="0">
      <selection activeCell="L20" sqref="L2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70</v>
      </c>
      <c r="E1" t="s">
        <v>69</v>
      </c>
    </row>
    <row r="2" spans="1:5" x14ac:dyDescent="0.35">
      <c r="A2" t="s">
        <v>52</v>
      </c>
      <c r="B2">
        <v>1</v>
      </c>
      <c r="C2" t="s">
        <v>53</v>
      </c>
      <c r="D2" t="s">
        <v>68</v>
      </c>
      <c r="E2">
        <v>18</v>
      </c>
    </row>
    <row r="3" spans="1:5" x14ac:dyDescent="0.35">
      <c r="A3" t="s">
        <v>57</v>
      </c>
      <c r="B3">
        <v>1</v>
      </c>
      <c r="C3" t="s">
        <v>53</v>
      </c>
      <c r="D3" t="s">
        <v>68</v>
      </c>
      <c r="E3">
        <v>0</v>
      </c>
    </row>
    <row r="4" spans="1:5" x14ac:dyDescent="0.35">
      <c r="A4" t="s">
        <v>58</v>
      </c>
      <c r="B4">
        <v>1</v>
      </c>
      <c r="C4" t="s">
        <v>53</v>
      </c>
      <c r="D4" t="s">
        <v>68</v>
      </c>
      <c r="E4">
        <v>123</v>
      </c>
    </row>
    <row r="5" spans="1:5" x14ac:dyDescent="0.35">
      <c r="A5" t="s">
        <v>59</v>
      </c>
      <c r="B5">
        <v>1</v>
      </c>
      <c r="C5" t="s">
        <v>53</v>
      </c>
      <c r="D5" t="s">
        <v>68</v>
      </c>
      <c r="E5">
        <v>31</v>
      </c>
    </row>
    <row r="6" spans="1:5" x14ac:dyDescent="0.35">
      <c r="A6" t="s">
        <v>60</v>
      </c>
      <c r="B6">
        <v>1</v>
      </c>
      <c r="C6" t="s">
        <v>53</v>
      </c>
      <c r="D6" t="s">
        <v>68</v>
      </c>
      <c r="E6">
        <v>39</v>
      </c>
    </row>
    <row r="7" spans="1:5" x14ac:dyDescent="0.35">
      <c r="A7" t="s">
        <v>61</v>
      </c>
      <c r="B7">
        <v>1</v>
      </c>
      <c r="C7" t="s">
        <v>53</v>
      </c>
      <c r="D7" t="s">
        <v>68</v>
      </c>
      <c r="E7">
        <v>17</v>
      </c>
    </row>
    <row r="8" spans="1:5" x14ac:dyDescent="0.35">
      <c r="A8" t="s">
        <v>52</v>
      </c>
      <c r="B8">
        <v>1</v>
      </c>
      <c r="C8" t="s">
        <v>54</v>
      </c>
      <c r="D8" t="s">
        <v>68</v>
      </c>
      <c r="E8">
        <v>0</v>
      </c>
    </row>
    <row r="9" spans="1:5" x14ac:dyDescent="0.35">
      <c r="A9" t="s">
        <v>57</v>
      </c>
      <c r="B9">
        <v>1</v>
      </c>
      <c r="C9" t="s">
        <v>54</v>
      </c>
      <c r="D9" t="s">
        <v>68</v>
      </c>
      <c r="E9">
        <v>0</v>
      </c>
    </row>
    <row r="10" spans="1:5" x14ac:dyDescent="0.35">
      <c r="A10" t="s">
        <v>58</v>
      </c>
      <c r="B10">
        <v>1</v>
      </c>
      <c r="C10" t="s">
        <v>54</v>
      </c>
      <c r="D10" t="s">
        <v>68</v>
      </c>
      <c r="E10">
        <v>118</v>
      </c>
    </row>
    <row r="11" spans="1:5" x14ac:dyDescent="0.35">
      <c r="A11" t="s">
        <v>59</v>
      </c>
      <c r="B11">
        <v>1</v>
      </c>
      <c r="C11" t="s">
        <v>54</v>
      </c>
      <c r="D11" t="s">
        <v>68</v>
      </c>
      <c r="E11">
        <v>34</v>
      </c>
    </row>
    <row r="12" spans="1:5" x14ac:dyDescent="0.35">
      <c r="A12" t="s">
        <v>60</v>
      </c>
      <c r="B12">
        <v>1</v>
      </c>
      <c r="C12" t="s">
        <v>54</v>
      </c>
      <c r="D12" t="s">
        <v>68</v>
      </c>
      <c r="E12">
        <v>31</v>
      </c>
    </row>
    <row r="13" spans="1:5" x14ac:dyDescent="0.35">
      <c r="A13" t="s">
        <v>61</v>
      </c>
      <c r="B13">
        <v>1</v>
      </c>
      <c r="C13" t="s">
        <v>54</v>
      </c>
      <c r="D13" t="s">
        <v>68</v>
      </c>
      <c r="E13">
        <v>12</v>
      </c>
    </row>
    <row r="14" spans="1:5" x14ac:dyDescent="0.35">
      <c r="A14" t="s">
        <v>52</v>
      </c>
      <c r="B14">
        <v>1</v>
      </c>
      <c r="C14" t="s">
        <v>55</v>
      </c>
      <c r="D14" t="s">
        <v>68</v>
      </c>
      <c r="E14">
        <v>25</v>
      </c>
    </row>
    <row r="15" spans="1:5" x14ac:dyDescent="0.35">
      <c r="A15" t="s">
        <v>57</v>
      </c>
      <c r="B15">
        <v>1</v>
      </c>
      <c r="C15" t="s">
        <v>55</v>
      </c>
      <c r="D15" t="s">
        <v>68</v>
      </c>
      <c r="E15">
        <v>0</v>
      </c>
    </row>
    <row r="16" spans="1:5" x14ac:dyDescent="0.35">
      <c r="A16" t="s">
        <v>58</v>
      </c>
      <c r="B16">
        <v>1</v>
      </c>
      <c r="C16" t="s">
        <v>55</v>
      </c>
      <c r="D16" t="s">
        <v>68</v>
      </c>
      <c r="E16">
        <v>99</v>
      </c>
    </row>
    <row r="17" spans="1:5" x14ac:dyDescent="0.35">
      <c r="A17" t="s">
        <v>59</v>
      </c>
      <c r="B17">
        <v>1</v>
      </c>
      <c r="C17" t="s">
        <v>55</v>
      </c>
      <c r="D17" t="s">
        <v>68</v>
      </c>
      <c r="E17">
        <v>56</v>
      </c>
    </row>
    <row r="18" spans="1:5" x14ac:dyDescent="0.35">
      <c r="A18" t="s">
        <v>60</v>
      </c>
      <c r="B18">
        <v>1</v>
      </c>
      <c r="C18" t="s">
        <v>55</v>
      </c>
      <c r="D18" t="s">
        <v>68</v>
      </c>
      <c r="E18">
        <v>90</v>
      </c>
    </row>
    <row r="19" spans="1:5" x14ac:dyDescent="0.35">
      <c r="A19" t="s">
        <v>61</v>
      </c>
      <c r="B19">
        <v>1</v>
      </c>
      <c r="C19" t="s">
        <v>55</v>
      </c>
      <c r="D19" t="s">
        <v>68</v>
      </c>
      <c r="E19">
        <v>10</v>
      </c>
    </row>
    <row r="20" spans="1:5" x14ac:dyDescent="0.35">
      <c r="A20" t="s">
        <v>52</v>
      </c>
      <c r="B20">
        <v>1</v>
      </c>
      <c r="C20" t="s">
        <v>56</v>
      </c>
      <c r="D20" t="s">
        <v>68</v>
      </c>
      <c r="E20">
        <v>17</v>
      </c>
    </row>
    <row r="21" spans="1:5" x14ac:dyDescent="0.35">
      <c r="A21" t="s">
        <v>57</v>
      </c>
      <c r="B21">
        <v>1</v>
      </c>
      <c r="C21" t="s">
        <v>56</v>
      </c>
      <c r="D21" t="s">
        <v>68</v>
      </c>
      <c r="E21">
        <v>0</v>
      </c>
    </row>
    <row r="22" spans="1:5" x14ac:dyDescent="0.35">
      <c r="A22" t="s">
        <v>58</v>
      </c>
      <c r="B22">
        <v>1</v>
      </c>
      <c r="C22" t="s">
        <v>56</v>
      </c>
      <c r="D22" t="s">
        <v>68</v>
      </c>
      <c r="E22">
        <v>115</v>
      </c>
    </row>
    <row r="23" spans="1:5" x14ac:dyDescent="0.35">
      <c r="A23" t="s">
        <v>59</v>
      </c>
      <c r="B23">
        <v>1</v>
      </c>
      <c r="C23" t="s">
        <v>56</v>
      </c>
      <c r="D23" t="s">
        <v>68</v>
      </c>
      <c r="E23">
        <v>60</v>
      </c>
    </row>
    <row r="24" spans="1:5" x14ac:dyDescent="0.35">
      <c r="A24" t="s">
        <v>60</v>
      </c>
      <c r="B24">
        <v>1</v>
      </c>
      <c r="C24" t="s">
        <v>56</v>
      </c>
      <c r="D24" t="s">
        <v>68</v>
      </c>
      <c r="E24">
        <v>36</v>
      </c>
    </row>
    <row r="25" spans="1:5" x14ac:dyDescent="0.35">
      <c r="A25" t="s">
        <v>61</v>
      </c>
      <c r="B25">
        <v>1</v>
      </c>
      <c r="C25" t="s">
        <v>56</v>
      </c>
      <c r="D25" t="s">
        <v>68</v>
      </c>
      <c r="E25">
        <v>7</v>
      </c>
    </row>
    <row r="26" spans="1:5" x14ac:dyDescent="0.35">
      <c r="A26" t="s">
        <v>52</v>
      </c>
      <c r="B26">
        <v>2</v>
      </c>
      <c r="C26" t="s">
        <v>53</v>
      </c>
      <c r="D26" t="s">
        <v>68</v>
      </c>
      <c r="E26">
        <v>0</v>
      </c>
    </row>
    <row r="27" spans="1:5" x14ac:dyDescent="0.35">
      <c r="A27" t="s">
        <v>57</v>
      </c>
      <c r="B27">
        <v>2</v>
      </c>
      <c r="C27" t="s">
        <v>53</v>
      </c>
      <c r="D27" t="s">
        <v>68</v>
      </c>
      <c r="E27">
        <v>0</v>
      </c>
    </row>
    <row r="28" spans="1:5" x14ac:dyDescent="0.35">
      <c r="A28" t="s">
        <v>58</v>
      </c>
      <c r="B28">
        <v>2</v>
      </c>
      <c r="C28" t="s">
        <v>53</v>
      </c>
      <c r="D28" t="s">
        <v>68</v>
      </c>
      <c r="E28">
        <v>109</v>
      </c>
    </row>
    <row r="29" spans="1:5" x14ac:dyDescent="0.35">
      <c r="A29" t="s">
        <v>59</v>
      </c>
      <c r="B29">
        <v>2</v>
      </c>
      <c r="C29" t="s">
        <v>53</v>
      </c>
      <c r="D29" t="s">
        <v>68</v>
      </c>
      <c r="E29">
        <v>54</v>
      </c>
    </row>
    <row r="30" spans="1:5" x14ac:dyDescent="0.35">
      <c r="A30" t="s">
        <v>60</v>
      </c>
      <c r="B30">
        <v>2</v>
      </c>
      <c r="C30" t="s">
        <v>53</v>
      </c>
      <c r="D30" t="s">
        <v>68</v>
      </c>
      <c r="E30">
        <v>48</v>
      </c>
    </row>
    <row r="31" spans="1:5" x14ac:dyDescent="0.35">
      <c r="A31" t="s">
        <v>61</v>
      </c>
      <c r="B31">
        <v>2</v>
      </c>
      <c r="C31" t="s">
        <v>53</v>
      </c>
      <c r="D31" t="s">
        <v>68</v>
      </c>
      <c r="E31">
        <v>17</v>
      </c>
    </row>
    <row r="32" spans="1:5" x14ac:dyDescent="0.35">
      <c r="A32" t="s">
        <v>52</v>
      </c>
      <c r="B32">
        <v>2</v>
      </c>
      <c r="C32" t="s">
        <v>54</v>
      </c>
      <c r="D32" t="s">
        <v>68</v>
      </c>
      <c r="E32">
        <v>0</v>
      </c>
    </row>
    <row r="33" spans="1:5" x14ac:dyDescent="0.35">
      <c r="A33" t="s">
        <v>57</v>
      </c>
      <c r="B33">
        <v>2</v>
      </c>
      <c r="C33" t="s">
        <v>54</v>
      </c>
      <c r="D33" t="s">
        <v>68</v>
      </c>
      <c r="E33">
        <v>0</v>
      </c>
    </row>
    <row r="34" spans="1:5" x14ac:dyDescent="0.35">
      <c r="A34" t="s">
        <v>58</v>
      </c>
      <c r="B34">
        <v>2</v>
      </c>
      <c r="C34" t="s">
        <v>54</v>
      </c>
      <c r="D34" t="s">
        <v>68</v>
      </c>
      <c r="E34">
        <v>125</v>
      </c>
    </row>
    <row r="35" spans="1:5" x14ac:dyDescent="0.35">
      <c r="A35" t="s">
        <v>59</v>
      </c>
      <c r="B35">
        <v>2</v>
      </c>
      <c r="C35" t="s">
        <v>54</v>
      </c>
      <c r="D35" t="s">
        <v>68</v>
      </c>
      <c r="E35">
        <v>39</v>
      </c>
    </row>
    <row r="36" spans="1:5" x14ac:dyDescent="0.35">
      <c r="A36" t="s">
        <v>60</v>
      </c>
      <c r="B36">
        <v>2</v>
      </c>
      <c r="C36" t="s">
        <v>54</v>
      </c>
      <c r="D36" t="s">
        <v>68</v>
      </c>
      <c r="E36">
        <v>52</v>
      </c>
    </row>
    <row r="37" spans="1:5" x14ac:dyDescent="0.35">
      <c r="A37" t="s">
        <v>61</v>
      </c>
      <c r="B37">
        <v>2</v>
      </c>
      <c r="C37" t="s">
        <v>54</v>
      </c>
      <c r="D37" t="s">
        <v>68</v>
      </c>
      <c r="E37">
        <v>40</v>
      </c>
    </row>
    <row r="38" spans="1:5" x14ac:dyDescent="0.35">
      <c r="A38" t="s">
        <v>52</v>
      </c>
      <c r="B38">
        <v>2</v>
      </c>
      <c r="C38" t="s">
        <v>55</v>
      </c>
      <c r="D38" t="s">
        <v>68</v>
      </c>
      <c r="E38">
        <v>7</v>
      </c>
    </row>
    <row r="39" spans="1:5" x14ac:dyDescent="0.35">
      <c r="A39" t="s">
        <v>57</v>
      </c>
      <c r="B39">
        <v>2</v>
      </c>
      <c r="C39" t="s">
        <v>55</v>
      </c>
      <c r="D39" t="s">
        <v>68</v>
      </c>
      <c r="E39">
        <v>0</v>
      </c>
    </row>
    <row r="40" spans="1:5" x14ac:dyDescent="0.35">
      <c r="A40" t="s">
        <v>58</v>
      </c>
      <c r="B40">
        <v>2</v>
      </c>
      <c r="C40" t="s">
        <v>55</v>
      </c>
      <c r="D40" t="s">
        <v>68</v>
      </c>
      <c r="E40">
        <v>101</v>
      </c>
    </row>
    <row r="41" spans="1:5" x14ac:dyDescent="0.35">
      <c r="A41" t="s">
        <v>59</v>
      </c>
      <c r="B41">
        <v>2</v>
      </c>
      <c r="C41" t="s">
        <v>55</v>
      </c>
      <c r="D41" t="s">
        <v>68</v>
      </c>
      <c r="E41">
        <v>86</v>
      </c>
    </row>
    <row r="42" spans="1:5" x14ac:dyDescent="0.35">
      <c r="A42" t="s">
        <v>60</v>
      </c>
      <c r="B42">
        <v>2</v>
      </c>
      <c r="C42" t="s">
        <v>55</v>
      </c>
      <c r="D42" t="s">
        <v>68</v>
      </c>
      <c r="E42">
        <v>59</v>
      </c>
    </row>
    <row r="43" spans="1:5" x14ac:dyDescent="0.35">
      <c r="A43" t="s">
        <v>61</v>
      </c>
      <c r="B43">
        <v>2</v>
      </c>
      <c r="C43" t="s">
        <v>55</v>
      </c>
      <c r="D43" t="s">
        <v>68</v>
      </c>
      <c r="E43">
        <v>15</v>
      </c>
    </row>
    <row r="44" spans="1:5" x14ac:dyDescent="0.35">
      <c r="A44" t="s">
        <v>52</v>
      </c>
      <c r="B44">
        <v>2</v>
      </c>
      <c r="C44" t="s">
        <v>56</v>
      </c>
      <c r="D44" t="s">
        <v>68</v>
      </c>
      <c r="E44">
        <v>0</v>
      </c>
    </row>
    <row r="45" spans="1:5" x14ac:dyDescent="0.35">
      <c r="A45" t="s">
        <v>57</v>
      </c>
      <c r="B45">
        <v>2</v>
      </c>
      <c r="C45" t="s">
        <v>56</v>
      </c>
      <c r="D45" t="s">
        <v>68</v>
      </c>
      <c r="E45">
        <v>12</v>
      </c>
    </row>
    <row r="46" spans="1:5" x14ac:dyDescent="0.35">
      <c r="A46" t="s">
        <v>58</v>
      </c>
      <c r="B46">
        <v>2</v>
      </c>
      <c r="C46" t="s">
        <v>56</v>
      </c>
      <c r="D46" t="s">
        <v>68</v>
      </c>
      <c r="E46">
        <v>99</v>
      </c>
    </row>
    <row r="47" spans="1:5" x14ac:dyDescent="0.35">
      <c r="A47" t="s">
        <v>59</v>
      </c>
      <c r="B47">
        <v>2</v>
      </c>
      <c r="C47" t="s">
        <v>56</v>
      </c>
      <c r="D47" t="s">
        <v>68</v>
      </c>
      <c r="E47">
        <v>25</v>
      </c>
    </row>
    <row r="48" spans="1:5" x14ac:dyDescent="0.35">
      <c r="A48" t="s">
        <v>60</v>
      </c>
      <c r="B48">
        <v>2</v>
      </c>
      <c r="C48" t="s">
        <v>56</v>
      </c>
      <c r="D48" t="s">
        <v>68</v>
      </c>
      <c r="E48">
        <v>47</v>
      </c>
    </row>
    <row r="49" spans="1:5" x14ac:dyDescent="0.35">
      <c r="A49" t="s">
        <v>61</v>
      </c>
      <c r="B49">
        <v>2</v>
      </c>
      <c r="C49" t="s">
        <v>56</v>
      </c>
      <c r="D49" t="s">
        <v>68</v>
      </c>
      <c r="E49">
        <v>29</v>
      </c>
    </row>
    <row r="50" spans="1:5" x14ac:dyDescent="0.35">
      <c r="A50" t="s">
        <v>52</v>
      </c>
      <c r="B50">
        <v>3</v>
      </c>
      <c r="C50" t="s">
        <v>53</v>
      </c>
      <c r="D50" t="s">
        <v>68</v>
      </c>
      <c r="E50">
        <v>0</v>
      </c>
    </row>
    <row r="51" spans="1:5" x14ac:dyDescent="0.35">
      <c r="A51" t="s">
        <v>57</v>
      </c>
      <c r="B51">
        <v>3</v>
      </c>
      <c r="C51" t="s">
        <v>53</v>
      </c>
      <c r="D51" t="s">
        <v>68</v>
      </c>
      <c r="E51">
        <v>0</v>
      </c>
    </row>
    <row r="52" spans="1:5" x14ac:dyDescent="0.35">
      <c r="A52" t="s">
        <v>58</v>
      </c>
      <c r="B52">
        <v>3</v>
      </c>
      <c r="C52" t="s">
        <v>53</v>
      </c>
      <c r="D52" t="s">
        <v>68</v>
      </c>
      <c r="E52">
        <v>136</v>
      </c>
    </row>
    <row r="53" spans="1:5" x14ac:dyDescent="0.35">
      <c r="A53" t="s">
        <v>59</v>
      </c>
      <c r="B53">
        <v>3</v>
      </c>
      <c r="C53" t="s">
        <v>53</v>
      </c>
      <c r="D53" t="s">
        <v>68</v>
      </c>
      <c r="E53">
        <v>49</v>
      </c>
    </row>
    <row r="54" spans="1:5" x14ac:dyDescent="0.35">
      <c r="A54" t="s">
        <v>60</v>
      </c>
      <c r="B54">
        <v>3</v>
      </c>
      <c r="C54" t="s">
        <v>53</v>
      </c>
      <c r="D54" t="s">
        <v>68</v>
      </c>
      <c r="E54">
        <v>44</v>
      </c>
    </row>
    <row r="55" spans="1:5" x14ac:dyDescent="0.35">
      <c r="A55" t="s">
        <v>61</v>
      </c>
      <c r="B55">
        <v>3</v>
      </c>
      <c r="C55" t="s">
        <v>53</v>
      </c>
      <c r="D55" t="s">
        <v>68</v>
      </c>
      <c r="E55">
        <v>45</v>
      </c>
    </row>
    <row r="56" spans="1:5" x14ac:dyDescent="0.35">
      <c r="A56" t="s">
        <v>52</v>
      </c>
      <c r="B56">
        <v>3</v>
      </c>
      <c r="C56" t="s">
        <v>54</v>
      </c>
      <c r="D56" t="s">
        <v>68</v>
      </c>
      <c r="E56">
        <v>15</v>
      </c>
    </row>
    <row r="57" spans="1:5" x14ac:dyDescent="0.35">
      <c r="A57" t="s">
        <v>57</v>
      </c>
      <c r="B57">
        <v>3</v>
      </c>
      <c r="C57" t="s">
        <v>54</v>
      </c>
      <c r="D57" t="s">
        <v>68</v>
      </c>
      <c r="E57">
        <v>0</v>
      </c>
    </row>
    <row r="58" spans="1:5" x14ac:dyDescent="0.35">
      <c r="A58" t="s">
        <v>58</v>
      </c>
      <c r="B58">
        <v>3</v>
      </c>
      <c r="C58" t="s">
        <v>54</v>
      </c>
      <c r="D58" t="s">
        <v>68</v>
      </c>
      <c r="E58">
        <v>71</v>
      </c>
    </row>
    <row r="59" spans="1:5" x14ac:dyDescent="0.35">
      <c r="A59" t="s">
        <v>59</v>
      </c>
      <c r="B59">
        <v>3</v>
      </c>
      <c r="C59" t="s">
        <v>54</v>
      </c>
      <c r="D59" t="s">
        <v>68</v>
      </c>
      <c r="E59">
        <v>37</v>
      </c>
    </row>
    <row r="60" spans="1:5" x14ac:dyDescent="0.35">
      <c r="A60" t="s">
        <v>60</v>
      </c>
      <c r="B60">
        <v>3</v>
      </c>
      <c r="C60" t="s">
        <v>54</v>
      </c>
      <c r="D60" t="s">
        <v>68</v>
      </c>
      <c r="E60">
        <v>22</v>
      </c>
    </row>
    <row r="61" spans="1:5" x14ac:dyDescent="0.35">
      <c r="A61" t="s">
        <v>61</v>
      </c>
      <c r="B61">
        <v>3</v>
      </c>
      <c r="C61" t="s">
        <v>54</v>
      </c>
      <c r="D61" t="s">
        <v>68</v>
      </c>
      <c r="E61">
        <v>44</v>
      </c>
    </row>
    <row r="62" spans="1:5" x14ac:dyDescent="0.35">
      <c r="A62" t="s">
        <v>52</v>
      </c>
      <c r="B62">
        <v>3</v>
      </c>
      <c r="C62" t="s">
        <v>55</v>
      </c>
      <c r="D62" t="s">
        <v>68</v>
      </c>
      <c r="E62">
        <v>0</v>
      </c>
    </row>
    <row r="63" spans="1:5" x14ac:dyDescent="0.35">
      <c r="A63" t="s">
        <v>57</v>
      </c>
      <c r="B63">
        <v>3</v>
      </c>
      <c r="C63" t="s">
        <v>55</v>
      </c>
      <c r="D63" t="s">
        <v>68</v>
      </c>
      <c r="E63">
        <v>0</v>
      </c>
    </row>
    <row r="64" spans="1:5" x14ac:dyDescent="0.35">
      <c r="A64" t="s">
        <v>58</v>
      </c>
      <c r="B64">
        <v>3</v>
      </c>
      <c r="C64" t="s">
        <v>55</v>
      </c>
      <c r="D64" t="s">
        <v>68</v>
      </c>
      <c r="E64">
        <v>22</v>
      </c>
    </row>
    <row r="65" spans="1:5" x14ac:dyDescent="0.35">
      <c r="A65" t="s">
        <v>59</v>
      </c>
      <c r="B65">
        <v>3</v>
      </c>
      <c r="C65" t="s">
        <v>55</v>
      </c>
      <c r="D65" t="s">
        <v>68</v>
      </c>
      <c r="E65">
        <v>37</v>
      </c>
    </row>
    <row r="66" spans="1:5" x14ac:dyDescent="0.35">
      <c r="A66" t="s">
        <v>60</v>
      </c>
      <c r="B66">
        <v>3</v>
      </c>
      <c r="C66" t="s">
        <v>55</v>
      </c>
      <c r="D66" t="s">
        <v>68</v>
      </c>
      <c r="E66">
        <v>51</v>
      </c>
    </row>
    <row r="67" spans="1:5" x14ac:dyDescent="0.35">
      <c r="A67" t="s">
        <v>61</v>
      </c>
      <c r="B67">
        <v>3</v>
      </c>
      <c r="C67" t="s">
        <v>55</v>
      </c>
      <c r="D67" t="s">
        <v>68</v>
      </c>
      <c r="E67">
        <v>27</v>
      </c>
    </row>
    <row r="68" spans="1:5" x14ac:dyDescent="0.35">
      <c r="A68" t="s">
        <v>52</v>
      </c>
      <c r="B68">
        <v>3</v>
      </c>
      <c r="C68" t="s">
        <v>56</v>
      </c>
      <c r="D68" t="s">
        <v>68</v>
      </c>
      <c r="E68">
        <v>0</v>
      </c>
    </row>
    <row r="69" spans="1:5" x14ac:dyDescent="0.35">
      <c r="A69" t="s">
        <v>57</v>
      </c>
      <c r="B69">
        <v>3</v>
      </c>
      <c r="C69" t="s">
        <v>56</v>
      </c>
      <c r="D69" t="s">
        <v>68</v>
      </c>
      <c r="E69">
        <v>0</v>
      </c>
    </row>
    <row r="70" spans="1:5" x14ac:dyDescent="0.35">
      <c r="A70" t="s">
        <v>58</v>
      </c>
      <c r="B70">
        <v>3</v>
      </c>
      <c r="C70" t="s">
        <v>56</v>
      </c>
      <c r="D70" t="s">
        <v>68</v>
      </c>
      <c r="E70">
        <v>13</v>
      </c>
    </row>
    <row r="71" spans="1:5" x14ac:dyDescent="0.35">
      <c r="A71" t="s">
        <v>59</v>
      </c>
      <c r="B71">
        <v>3</v>
      </c>
      <c r="C71" t="s">
        <v>56</v>
      </c>
      <c r="D71" t="s">
        <v>68</v>
      </c>
      <c r="E71">
        <v>42</v>
      </c>
    </row>
    <row r="72" spans="1:5" x14ac:dyDescent="0.35">
      <c r="A72" t="s">
        <v>60</v>
      </c>
      <c r="B72">
        <v>3</v>
      </c>
      <c r="C72" t="s">
        <v>56</v>
      </c>
      <c r="D72" t="s">
        <v>68</v>
      </c>
      <c r="E72">
        <v>69</v>
      </c>
    </row>
    <row r="73" spans="1:5" x14ac:dyDescent="0.35">
      <c r="A73" t="s">
        <v>61</v>
      </c>
      <c r="B73">
        <v>3</v>
      </c>
      <c r="C73" t="s">
        <v>56</v>
      </c>
      <c r="D73" t="s">
        <v>68</v>
      </c>
      <c r="E73">
        <v>32</v>
      </c>
    </row>
    <row r="74" spans="1:5" x14ac:dyDescent="0.35">
      <c r="A74" t="s">
        <v>52</v>
      </c>
      <c r="B74">
        <v>4</v>
      </c>
      <c r="C74" t="s">
        <v>53</v>
      </c>
      <c r="D74" t="s">
        <v>68</v>
      </c>
      <c r="E74">
        <v>24</v>
      </c>
    </row>
    <row r="75" spans="1:5" x14ac:dyDescent="0.35">
      <c r="A75" t="s">
        <v>57</v>
      </c>
      <c r="B75">
        <v>4</v>
      </c>
      <c r="C75" t="s">
        <v>53</v>
      </c>
      <c r="D75" t="s">
        <v>68</v>
      </c>
      <c r="E75">
        <v>0</v>
      </c>
    </row>
    <row r="76" spans="1:5" x14ac:dyDescent="0.35">
      <c r="A76" t="s">
        <v>58</v>
      </c>
      <c r="B76">
        <v>4</v>
      </c>
      <c r="C76" t="s">
        <v>53</v>
      </c>
      <c r="D76" t="s">
        <v>68</v>
      </c>
      <c r="E76">
        <v>129</v>
      </c>
    </row>
    <row r="77" spans="1:5" x14ac:dyDescent="0.35">
      <c r="A77" t="s">
        <v>59</v>
      </c>
      <c r="B77">
        <v>4</v>
      </c>
      <c r="C77" t="s">
        <v>53</v>
      </c>
      <c r="D77" t="s">
        <v>68</v>
      </c>
      <c r="E77">
        <v>44</v>
      </c>
    </row>
    <row r="78" spans="1:5" x14ac:dyDescent="0.35">
      <c r="A78" t="s">
        <v>60</v>
      </c>
      <c r="B78">
        <v>4</v>
      </c>
      <c r="C78" t="s">
        <v>53</v>
      </c>
      <c r="D78" t="s">
        <v>68</v>
      </c>
      <c r="E78">
        <v>78</v>
      </c>
    </row>
    <row r="79" spans="1:5" x14ac:dyDescent="0.35">
      <c r="A79" t="s">
        <v>61</v>
      </c>
      <c r="B79">
        <v>4</v>
      </c>
      <c r="C79" t="s">
        <v>53</v>
      </c>
      <c r="D79" t="s">
        <v>68</v>
      </c>
      <c r="E79">
        <v>47</v>
      </c>
    </row>
    <row r="80" spans="1:5" x14ac:dyDescent="0.35">
      <c r="A80" t="s">
        <v>52</v>
      </c>
      <c r="B80">
        <v>4</v>
      </c>
      <c r="C80" t="s">
        <v>54</v>
      </c>
      <c r="D80" t="s">
        <v>68</v>
      </c>
      <c r="E80">
        <v>31</v>
      </c>
    </row>
    <row r="81" spans="1:5" x14ac:dyDescent="0.35">
      <c r="A81" t="s">
        <v>57</v>
      </c>
      <c r="B81">
        <v>4</v>
      </c>
      <c r="C81" t="s">
        <v>54</v>
      </c>
      <c r="D81" t="s">
        <v>68</v>
      </c>
      <c r="E81">
        <v>0</v>
      </c>
    </row>
    <row r="82" spans="1:5" x14ac:dyDescent="0.35">
      <c r="A82" t="s">
        <v>58</v>
      </c>
      <c r="B82">
        <v>4</v>
      </c>
      <c r="C82" t="s">
        <v>54</v>
      </c>
      <c r="D82" t="s">
        <v>68</v>
      </c>
      <c r="E82">
        <v>26</v>
      </c>
    </row>
    <row r="83" spans="1:5" x14ac:dyDescent="0.35">
      <c r="A83" t="s">
        <v>59</v>
      </c>
      <c r="B83">
        <v>4</v>
      </c>
      <c r="C83" t="s">
        <v>54</v>
      </c>
      <c r="D83" t="s">
        <v>68</v>
      </c>
      <c r="E83">
        <v>37</v>
      </c>
    </row>
    <row r="84" spans="1:5" x14ac:dyDescent="0.35">
      <c r="A84" t="s">
        <v>60</v>
      </c>
      <c r="B84">
        <v>4</v>
      </c>
      <c r="C84" t="s">
        <v>54</v>
      </c>
      <c r="D84" t="s">
        <v>68</v>
      </c>
      <c r="E84">
        <v>41</v>
      </c>
    </row>
    <row r="85" spans="1:5" x14ac:dyDescent="0.35">
      <c r="A85" t="s">
        <v>61</v>
      </c>
      <c r="B85">
        <v>4</v>
      </c>
      <c r="C85" t="s">
        <v>54</v>
      </c>
      <c r="D85" t="s">
        <v>68</v>
      </c>
      <c r="E85">
        <v>31</v>
      </c>
    </row>
    <row r="86" spans="1:5" x14ac:dyDescent="0.35">
      <c r="A86" t="s">
        <v>52</v>
      </c>
      <c r="B86">
        <v>4</v>
      </c>
      <c r="C86" t="s">
        <v>55</v>
      </c>
      <c r="D86" t="s">
        <v>68</v>
      </c>
      <c r="E86">
        <v>10</v>
      </c>
    </row>
    <row r="87" spans="1:5" x14ac:dyDescent="0.35">
      <c r="A87" t="s">
        <v>57</v>
      </c>
      <c r="B87">
        <v>4</v>
      </c>
      <c r="C87" t="s">
        <v>55</v>
      </c>
      <c r="D87" t="s">
        <v>68</v>
      </c>
      <c r="E87">
        <v>9</v>
      </c>
    </row>
    <row r="88" spans="1:5" x14ac:dyDescent="0.35">
      <c r="A88" t="s">
        <v>58</v>
      </c>
      <c r="B88">
        <v>4</v>
      </c>
      <c r="C88" t="s">
        <v>55</v>
      </c>
      <c r="D88" t="s">
        <v>68</v>
      </c>
      <c r="E88">
        <v>36</v>
      </c>
    </row>
    <row r="89" spans="1:5" x14ac:dyDescent="0.35">
      <c r="A89" t="s">
        <v>59</v>
      </c>
      <c r="B89">
        <v>4</v>
      </c>
      <c r="C89" t="s">
        <v>55</v>
      </c>
      <c r="D89" t="s">
        <v>68</v>
      </c>
      <c r="E89">
        <v>42</v>
      </c>
    </row>
    <row r="90" spans="1:5" x14ac:dyDescent="0.35">
      <c r="A90" t="s">
        <v>60</v>
      </c>
      <c r="B90">
        <v>4</v>
      </c>
      <c r="C90" t="s">
        <v>55</v>
      </c>
      <c r="D90" t="s">
        <v>68</v>
      </c>
      <c r="E90">
        <v>50</v>
      </c>
    </row>
    <row r="91" spans="1:5" x14ac:dyDescent="0.35">
      <c r="A91" t="s">
        <v>61</v>
      </c>
      <c r="B91">
        <v>4</v>
      </c>
      <c r="C91" t="s">
        <v>55</v>
      </c>
      <c r="D91" t="s">
        <v>68</v>
      </c>
      <c r="E91">
        <v>12</v>
      </c>
    </row>
    <row r="92" spans="1:5" x14ac:dyDescent="0.35">
      <c r="A92" t="s">
        <v>52</v>
      </c>
      <c r="B92">
        <v>4</v>
      </c>
      <c r="C92" t="s">
        <v>56</v>
      </c>
      <c r="D92" t="s">
        <v>68</v>
      </c>
      <c r="E92">
        <v>12</v>
      </c>
    </row>
    <row r="93" spans="1:5" x14ac:dyDescent="0.35">
      <c r="A93" t="s">
        <v>57</v>
      </c>
      <c r="B93">
        <v>4</v>
      </c>
      <c r="C93" t="s">
        <v>56</v>
      </c>
      <c r="D93" t="s">
        <v>68</v>
      </c>
      <c r="E93">
        <v>4</v>
      </c>
    </row>
    <row r="94" spans="1:5" x14ac:dyDescent="0.35">
      <c r="A94" t="s">
        <v>58</v>
      </c>
      <c r="B94">
        <v>4</v>
      </c>
      <c r="C94" t="s">
        <v>56</v>
      </c>
      <c r="D94" t="s">
        <v>68</v>
      </c>
      <c r="E94">
        <v>26</v>
      </c>
    </row>
    <row r="95" spans="1:5" x14ac:dyDescent="0.35">
      <c r="A95" t="s">
        <v>59</v>
      </c>
      <c r="B95">
        <v>4</v>
      </c>
      <c r="C95" t="s">
        <v>56</v>
      </c>
      <c r="D95" t="s">
        <v>68</v>
      </c>
      <c r="E95">
        <v>33</v>
      </c>
    </row>
    <row r="96" spans="1:5" x14ac:dyDescent="0.35">
      <c r="A96" t="s">
        <v>60</v>
      </c>
      <c r="B96">
        <v>4</v>
      </c>
      <c r="C96" t="s">
        <v>56</v>
      </c>
      <c r="D96" t="s">
        <v>68</v>
      </c>
      <c r="E96">
        <v>46</v>
      </c>
    </row>
    <row r="97" spans="1:5" x14ac:dyDescent="0.35">
      <c r="A97" t="s">
        <v>61</v>
      </c>
      <c r="B97">
        <v>4</v>
      </c>
      <c r="C97" t="s">
        <v>56</v>
      </c>
      <c r="D97" t="s">
        <v>68</v>
      </c>
      <c r="E97">
        <v>41</v>
      </c>
    </row>
    <row r="98" spans="1:5" x14ac:dyDescent="0.35">
      <c r="A98" t="s">
        <v>52</v>
      </c>
      <c r="B98">
        <v>5</v>
      </c>
      <c r="C98" t="s">
        <v>53</v>
      </c>
      <c r="D98" t="s">
        <v>68</v>
      </c>
      <c r="E98">
        <v>13</v>
      </c>
    </row>
    <row r="99" spans="1:5" x14ac:dyDescent="0.35">
      <c r="A99" t="s">
        <v>57</v>
      </c>
      <c r="B99">
        <v>5</v>
      </c>
      <c r="C99" t="s">
        <v>53</v>
      </c>
      <c r="D99" t="s">
        <v>68</v>
      </c>
      <c r="E99">
        <v>0</v>
      </c>
    </row>
    <row r="100" spans="1:5" x14ac:dyDescent="0.35">
      <c r="A100" t="s">
        <v>58</v>
      </c>
      <c r="B100">
        <v>5</v>
      </c>
      <c r="C100" t="s">
        <v>53</v>
      </c>
      <c r="D100" t="s">
        <v>68</v>
      </c>
      <c r="E100">
        <v>64</v>
      </c>
    </row>
    <row r="101" spans="1:5" x14ac:dyDescent="0.35">
      <c r="A101" t="s">
        <v>59</v>
      </c>
      <c r="B101">
        <v>5</v>
      </c>
      <c r="C101" t="s">
        <v>53</v>
      </c>
      <c r="D101" t="s">
        <v>68</v>
      </c>
      <c r="E101">
        <v>38</v>
      </c>
    </row>
    <row r="102" spans="1:5" x14ac:dyDescent="0.35">
      <c r="A102" t="s">
        <v>60</v>
      </c>
      <c r="B102">
        <v>5</v>
      </c>
      <c r="C102" t="s">
        <v>53</v>
      </c>
      <c r="D102" t="s">
        <v>68</v>
      </c>
      <c r="E102">
        <v>60</v>
      </c>
    </row>
    <row r="103" spans="1:5" x14ac:dyDescent="0.35">
      <c r="A103" t="s">
        <v>61</v>
      </c>
      <c r="B103">
        <v>5</v>
      </c>
      <c r="C103" t="s">
        <v>53</v>
      </c>
      <c r="D103" t="s">
        <v>68</v>
      </c>
      <c r="E103">
        <v>18</v>
      </c>
    </row>
    <row r="104" spans="1:5" x14ac:dyDescent="0.35">
      <c r="A104" t="s">
        <v>52</v>
      </c>
      <c r="B104">
        <v>5</v>
      </c>
      <c r="C104" t="s">
        <v>54</v>
      </c>
      <c r="D104" t="s">
        <v>68</v>
      </c>
      <c r="E104">
        <v>18</v>
      </c>
    </row>
    <row r="105" spans="1:5" x14ac:dyDescent="0.35">
      <c r="A105" t="s">
        <v>57</v>
      </c>
      <c r="B105">
        <v>5</v>
      </c>
      <c r="C105" t="s">
        <v>54</v>
      </c>
      <c r="D105" t="s">
        <v>68</v>
      </c>
      <c r="E105">
        <v>0</v>
      </c>
    </row>
    <row r="106" spans="1:5" x14ac:dyDescent="0.35">
      <c r="A106" t="s">
        <v>58</v>
      </c>
      <c r="B106">
        <v>5</v>
      </c>
      <c r="C106" t="s">
        <v>54</v>
      </c>
      <c r="D106" t="s">
        <v>68</v>
      </c>
      <c r="E106">
        <v>61</v>
      </c>
    </row>
    <row r="107" spans="1:5" x14ac:dyDescent="0.35">
      <c r="A107" t="s">
        <v>59</v>
      </c>
      <c r="B107">
        <v>5</v>
      </c>
      <c r="C107" t="s">
        <v>54</v>
      </c>
      <c r="D107" t="s">
        <v>68</v>
      </c>
      <c r="E107">
        <v>33</v>
      </c>
    </row>
    <row r="108" spans="1:5" x14ac:dyDescent="0.35">
      <c r="A108" t="s">
        <v>60</v>
      </c>
      <c r="B108">
        <v>5</v>
      </c>
      <c r="C108" t="s">
        <v>54</v>
      </c>
      <c r="D108" t="s">
        <v>68</v>
      </c>
      <c r="E108">
        <v>34</v>
      </c>
    </row>
    <row r="109" spans="1:5" x14ac:dyDescent="0.35">
      <c r="A109" t="s">
        <v>61</v>
      </c>
      <c r="B109">
        <v>5</v>
      </c>
      <c r="C109" t="s">
        <v>54</v>
      </c>
      <c r="D109" t="s">
        <v>68</v>
      </c>
      <c r="E109">
        <v>32</v>
      </c>
    </row>
    <row r="110" spans="1:5" x14ac:dyDescent="0.35">
      <c r="A110" t="s">
        <v>52</v>
      </c>
      <c r="B110">
        <v>5</v>
      </c>
      <c r="C110" t="s">
        <v>55</v>
      </c>
      <c r="D110" t="s">
        <v>68</v>
      </c>
      <c r="E110">
        <v>25</v>
      </c>
    </row>
    <row r="111" spans="1:5" x14ac:dyDescent="0.35">
      <c r="A111" t="s">
        <v>57</v>
      </c>
      <c r="B111">
        <v>5</v>
      </c>
      <c r="C111" t="s">
        <v>55</v>
      </c>
      <c r="D111" t="s">
        <v>68</v>
      </c>
      <c r="E111">
        <v>0</v>
      </c>
    </row>
    <row r="112" spans="1:5" x14ac:dyDescent="0.35">
      <c r="A112" t="s">
        <v>58</v>
      </c>
      <c r="B112">
        <v>5</v>
      </c>
      <c r="C112" t="s">
        <v>55</v>
      </c>
      <c r="D112" t="s">
        <v>68</v>
      </c>
      <c r="E112">
        <v>94</v>
      </c>
    </row>
    <row r="113" spans="1:5" x14ac:dyDescent="0.35">
      <c r="A113" t="s">
        <v>59</v>
      </c>
      <c r="B113">
        <v>5</v>
      </c>
      <c r="C113" t="s">
        <v>55</v>
      </c>
      <c r="D113" t="s">
        <v>68</v>
      </c>
      <c r="E113">
        <v>49</v>
      </c>
    </row>
    <row r="114" spans="1:5" x14ac:dyDescent="0.35">
      <c r="A114" t="s">
        <v>60</v>
      </c>
      <c r="B114">
        <v>5</v>
      </c>
      <c r="C114" t="s">
        <v>55</v>
      </c>
      <c r="D114" t="s">
        <v>68</v>
      </c>
      <c r="E114">
        <v>48</v>
      </c>
    </row>
    <row r="115" spans="1:5" x14ac:dyDescent="0.35">
      <c r="A115" t="s">
        <v>61</v>
      </c>
      <c r="B115">
        <v>5</v>
      </c>
      <c r="C115" t="s">
        <v>55</v>
      </c>
      <c r="D115" t="s">
        <v>68</v>
      </c>
      <c r="E115">
        <v>10</v>
      </c>
    </row>
    <row r="116" spans="1:5" x14ac:dyDescent="0.35">
      <c r="A116" t="s">
        <v>52</v>
      </c>
      <c r="B116">
        <v>5</v>
      </c>
      <c r="C116" t="s">
        <v>53</v>
      </c>
      <c r="D116" t="s">
        <v>68</v>
      </c>
      <c r="E116">
        <v>13</v>
      </c>
    </row>
    <row r="117" spans="1:5" x14ac:dyDescent="0.35">
      <c r="A117" t="s">
        <v>57</v>
      </c>
      <c r="B117">
        <v>5</v>
      </c>
      <c r="C117" t="s">
        <v>53</v>
      </c>
      <c r="D117" t="s">
        <v>68</v>
      </c>
      <c r="E117">
        <v>0</v>
      </c>
    </row>
    <row r="118" spans="1:5" x14ac:dyDescent="0.35">
      <c r="A118" t="s">
        <v>58</v>
      </c>
      <c r="B118">
        <v>5</v>
      </c>
      <c r="C118" t="s">
        <v>53</v>
      </c>
      <c r="D118" t="s">
        <v>68</v>
      </c>
      <c r="E118">
        <v>64</v>
      </c>
    </row>
    <row r="119" spans="1:5" x14ac:dyDescent="0.35">
      <c r="A119" t="s">
        <v>59</v>
      </c>
      <c r="B119">
        <v>5</v>
      </c>
      <c r="C119" t="s">
        <v>53</v>
      </c>
      <c r="D119" t="s">
        <v>68</v>
      </c>
      <c r="E119">
        <v>38</v>
      </c>
    </row>
    <row r="120" spans="1:5" x14ac:dyDescent="0.35">
      <c r="A120" t="s">
        <v>60</v>
      </c>
      <c r="B120">
        <v>5</v>
      </c>
      <c r="C120" t="s">
        <v>53</v>
      </c>
      <c r="D120" t="s">
        <v>68</v>
      </c>
      <c r="E120">
        <v>60</v>
      </c>
    </row>
    <row r="121" spans="1:5" x14ac:dyDescent="0.35">
      <c r="A121" t="s">
        <v>61</v>
      </c>
      <c r="B121">
        <v>5</v>
      </c>
      <c r="C121" t="s">
        <v>53</v>
      </c>
      <c r="D121" t="s">
        <v>68</v>
      </c>
      <c r="E121">
        <v>18</v>
      </c>
    </row>
    <row r="122" spans="1:5" x14ac:dyDescent="0.35">
      <c r="A122" t="s">
        <v>52</v>
      </c>
      <c r="B122">
        <v>5</v>
      </c>
      <c r="C122" t="s">
        <v>54</v>
      </c>
      <c r="D122" t="s">
        <v>68</v>
      </c>
      <c r="E122">
        <v>18</v>
      </c>
    </row>
    <row r="123" spans="1:5" x14ac:dyDescent="0.35">
      <c r="A123" t="s">
        <v>57</v>
      </c>
      <c r="B123">
        <v>5</v>
      </c>
      <c r="C123" t="s">
        <v>54</v>
      </c>
      <c r="D123" t="s">
        <v>68</v>
      </c>
      <c r="E123">
        <v>0</v>
      </c>
    </row>
    <row r="124" spans="1:5" x14ac:dyDescent="0.35">
      <c r="A124" t="s">
        <v>58</v>
      </c>
      <c r="B124">
        <v>5</v>
      </c>
      <c r="C124" t="s">
        <v>54</v>
      </c>
      <c r="D124" t="s">
        <v>68</v>
      </c>
      <c r="E124">
        <v>61</v>
      </c>
    </row>
    <row r="125" spans="1:5" x14ac:dyDescent="0.35">
      <c r="A125" t="s">
        <v>59</v>
      </c>
      <c r="B125">
        <v>5</v>
      </c>
      <c r="C125" t="s">
        <v>54</v>
      </c>
      <c r="D125" t="s">
        <v>68</v>
      </c>
      <c r="E125">
        <v>33</v>
      </c>
    </row>
    <row r="126" spans="1:5" x14ac:dyDescent="0.35">
      <c r="A126" t="s">
        <v>60</v>
      </c>
      <c r="B126">
        <v>5</v>
      </c>
      <c r="C126" t="s">
        <v>54</v>
      </c>
      <c r="D126" t="s">
        <v>68</v>
      </c>
      <c r="E126">
        <v>34</v>
      </c>
    </row>
    <row r="127" spans="1:5" x14ac:dyDescent="0.35">
      <c r="A127" t="s">
        <v>61</v>
      </c>
      <c r="B127">
        <v>5</v>
      </c>
      <c r="C127" t="s">
        <v>54</v>
      </c>
      <c r="D127" t="s">
        <v>68</v>
      </c>
      <c r="E127">
        <v>32</v>
      </c>
    </row>
    <row r="128" spans="1:5" x14ac:dyDescent="0.35">
      <c r="A128" t="s">
        <v>52</v>
      </c>
      <c r="B128">
        <v>5</v>
      </c>
      <c r="C128" t="s">
        <v>55</v>
      </c>
      <c r="D128" t="s">
        <v>68</v>
      </c>
      <c r="E128">
        <v>25</v>
      </c>
    </row>
    <row r="129" spans="1:5" x14ac:dyDescent="0.35">
      <c r="A129" t="s">
        <v>57</v>
      </c>
      <c r="B129">
        <v>5</v>
      </c>
      <c r="C129" t="s">
        <v>55</v>
      </c>
      <c r="D129" t="s">
        <v>68</v>
      </c>
      <c r="E129">
        <v>0</v>
      </c>
    </row>
    <row r="130" spans="1:5" x14ac:dyDescent="0.35">
      <c r="A130" t="s">
        <v>58</v>
      </c>
      <c r="B130">
        <v>5</v>
      </c>
      <c r="C130" t="s">
        <v>55</v>
      </c>
      <c r="D130" t="s">
        <v>68</v>
      </c>
      <c r="E130">
        <v>94</v>
      </c>
    </row>
    <row r="131" spans="1:5" x14ac:dyDescent="0.35">
      <c r="A131" t="s">
        <v>59</v>
      </c>
      <c r="B131">
        <v>5</v>
      </c>
      <c r="C131" t="s">
        <v>55</v>
      </c>
      <c r="D131" t="s">
        <v>68</v>
      </c>
      <c r="E131">
        <v>49</v>
      </c>
    </row>
    <row r="132" spans="1:5" x14ac:dyDescent="0.35">
      <c r="A132" t="s">
        <v>60</v>
      </c>
      <c r="B132">
        <v>5</v>
      </c>
      <c r="C132" t="s">
        <v>55</v>
      </c>
      <c r="D132" t="s">
        <v>68</v>
      </c>
      <c r="E132">
        <v>48</v>
      </c>
    </row>
    <row r="133" spans="1:5" x14ac:dyDescent="0.35">
      <c r="A133" t="s">
        <v>61</v>
      </c>
      <c r="B133">
        <v>5</v>
      </c>
      <c r="C133" t="s">
        <v>55</v>
      </c>
      <c r="D133" t="s">
        <v>68</v>
      </c>
      <c r="E133">
        <v>10</v>
      </c>
    </row>
    <row r="134" spans="1:5" x14ac:dyDescent="0.35">
      <c r="A134" t="s">
        <v>52</v>
      </c>
      <c r="B134">
        <v>5</v>
      </c>
      <c r="C134" t="s">
        <v>56</v>
      </c>
      <c r="D134" t="s">
        <v>68</v>
      </c>
      <c r="E134">
        <v>12</v>
      </c>
    </row>
    <row r="135" spans="1:5" x14ac:dyDescent="0.35">
      <c r="A135" t="s">
        <v>57</v>
      </c>
      <c r="B135">
        <v>5</v>
      </c>
      <c r="C135" t="s">
        <v>56</v>
      </c>
      <c r="D135" t="s">
        <v>68</v>
      </c>
      <c r="E135">
        <v>0</v>
      </c>
    </row>
    <row r="136" spans="1:5" x14ac:dyDescent="0.35">
      <c r="A136" t="s">
        <v>58</v>
      </c>
      <c r="B136">
        <v>5</v>
      </c>
      <c r="C136" t="s">
        <v>56</v>
      </c>
      <c r="D136" t="s">
        <v>68</v>
      </c>
      <c r="E136">
        <v>97</v>
      </c>
    </row>
    <row r="137" spans="1:5" x14ac:dyDescent="0.35">
      <c r="A137" t="s">
        <v>59</v>
      </c>
      <c r="B137">
        <v>5</v>
      </c>
      <c r="C137" t="s">
        <v>56</v>
      </c>
      <c r="D137" t="s">
        <v>68</v>
      </c>
      <c r="E137">
        <v>52</v>
      </c>
    </row>
    <row r="138" spans="1:5" x14ac:dyDescent="0.35">
      <c r="A138" t="s">
        <v>60</v>
      </c>
      <c r="B138">
        <v>5</v>
      </c>
      <c r="C138" t="s">
        <v>56</v>
      </c>
      <c r="D138" t="s">
        <v>68</v>
      </c>
      <c r="E138">
        <v>63</v>
      </c>
    </row>
    <row r="139" spans="1:5" x14ac:dyDescent="0.35">
      <c r="A139" t="s">
        <v>61</v>
      </c>
      <c r="B139">
        <v>5</v>
      </c>
      <c r="C139" t="s">
        <v>56</v>
      </c>
      <c r="D139" t="s">
        <v>68</v>
      </c>
      <c r="E139">
        <v>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ED24-E57F-4978-BE0B-F19C28A7882E}">
  <dimension ref="A1:DQ67"/>
  <sheetViews>
    <sheetView workbookViewId="0">
      <pane ySplit="1" topLeftCell="A8" activePane="bottomLeft" state="frozen"/>
      <selection pane="bottomLeft" activeCell="C18" sqref="C18"/>
    </sheetView>
  </sheetViews>
  <sheetFormatPr defaultRowHeight="14.5" x14ac:dyDescent="0.35"/>
  <cols>
    <col min="1" max="1" width="21.1796875" customWidth="1"/>
  </cols>
  <sheetData>
    <row r="1" spans="1:121" x14ac:dyDescent="0.35">
      <c r="A1" t="s">
        <v>0</v>
      </c>
      <c r="B1" t="s">
        <v>52</v>
      </c>
      <c r="C1" t="s">
        <v>52</v>
      </c>
      <c r="D1" t="s">
        <v>52</v>
      </c>
      <c r="E1" t="s">
        <v>52</v>
      </c>
      <c r="F1" t="s">
        <v>52</v>
      </c>
      <c r="G1" t="s">
        <v>52</v>
      </c>
      <c r="H1" t="s">
        <v>52</v>
      </c>
      <c r="I1" t="s">
        <v>52</v>
      </c>
      <c r="J1" t="s">
        <v>52</v>
      </c>
      <c r="K1" t="s">
        <v>52</v>
      </c>
      <c r="L1" t="s">
        <v>52</v>
      </c>
      <c r="M1" t="s">
        <v>52</v>
      </c>
      <c r="N1" t="s">
        <v>52</v>
      </c>
      <c r="O1" t="s">
        <v>52</v>
      </c>
      <c r="P1" t="s">
        <v>52</v>
      </c>
      <c r="Q1" t="s">
        <v>52</v>
      </c>
      <c r="R1" t="s">
        <v>52</v>
      </c>
      <c r="S1" t="s">
        <v>52</v>
      </c>
      <c r="T1" t="s">
        <v>52</v>
      </c>
      <c r="U1" t="s">
        <v>52</v>
      </c>
      <c r="V1" t="s">
        <v>57</v>
      </c>
      <c r="W1" t="s">
        <v>57</v>
      </c>
      <c r="X1" t="s">
        <v>57</v>
      </c>
      <c r="Y1" t="s">
        <v>57</v>
      </c>
      <c r="Z1" t="s">
        <v>57</v>
      </c>
      <c r="AA1" t="s">
        <v>57</v>
      </c>
      <c r="AB1" t="s">
        <v>57</v>
      </c>
      <c r="AC1" t="s">
        <v>57</v>
      </c>
      <c r="AD1" t="s">
        <v>57</v>
      </c>
      <c r="AE1" t="s">
        <v>57</v>
      </c>
      <c r="AF1" t="s">
        <v>57</v>
      </c>
      <c r="AG1" t="s">
        <v>57</v>
      </c>
      <c r="AH1" t="s">
        <v>57</v>
      </c>
      <c r="AI1" t="s">
        <v>57</v>
      </c>
      <c r="AJ1" t="s">
        <v>57</v>
      </c>
      <c r="AK1" t="s">
        <v>57</v>
      </c>
      <c r="AL1" t="s">
        <v>57</v>
      </c>
      <c r="AM1" t="s">
        <v>57</v>
      </c>
      <c r="AN1" t="s">
        <v>57</v>
      </c>
      <c r="AO1" t="s">
        <v>57</v>
      </c>
      <c r="AP1" t="s">
        <v>58</v>
      </c>
      <c r="AQ1" t="s">
        <v>58</v>
      </c>
      <c r="AR1" t="s">
        <v>58</v>
      </c>
      <c r="AS1" t="s">
        <v>58</v>
      </c>
      <c r="AT1" t="s">
        <v>58</v>
      </c>
      <c r="AU1" t="s">
        <v>58</v>
      </c>
      <c r="AV1" t="s">
        <v>58</v>
      </c>
      <c r="AW1" t="s">
        <v>58</v>
      </c>
      <c r="AX1" t="s">
        <v>58</v>
      </c>
      <c r="AY1" t="s">
        <v>58</v>
      </c>
      <c r="AZ1" t="s">
        <v>58</v>
      </c>
      <c r="BA1" t="s">
        <v>58</v>
      </c>
      <c r="BB1" t="s">
        <v>58</v>
      </c>
      <c r="BC1" t="s">
        <v>58</v>
      </c>
      <c r="BD1" t="s">
        <v>58</v>
      </c>
      <c r="BE1" t="s">
        <v>58</v>
      </c>
      <c r="BF1" t="s">
        <v>58</v>
      </c>
      <c r="BG1" t="s">
        <v>58</v>
      </c>
      <c r="BH1" t="s">
        <v>58</v>
      </c>
      <c r="BI1" t="s">
        <v>58</v>
      </c>
      <c r="BJ1" t="s">
        <v>59</v>
      </c>
      <c r="BK1" t="s">
        <v>59</v>
      </c>
      <c r="BL1" t="s">
        <v>59</v>
      </c>
      <c r="BM1" t="s">
        <v>59</v>
      </c>
      <c r="BN1" t="s">
        <v>59</v>
      </c>
      <c r="BO1" t="s">
        <v>59</v>
      </c>
      <c r="BP1" t="s">
        <v>59</v>
      </c>
      <c r="BQ1" t="s">
        <v>59</v>
      </c>
      <c r="BR1" t="s">
        <v>59</v>
      </c>
      <c r="BS1" t="s">
        <v>59</v>
      </c>
      <c r="BT1" t="s">
        <v>59</v>
      </c>
      <c r="BU1" t="s">
        <v>59</v>
      </c>
      <c r="BV1" t="s">
        <v>59</v>
      </c>
      <c r="BW1" t="s">
        <v>59</v>
      </c>
      <c r="BX1" t="s">
        <v>59</v>
      </c>
      <c r="BY1" t="s">
        <v>59</v>
      </c>
      <c r="BZ1" t="s">
        <v>59</v>
      </c>
      <c r="CA1" t="s">
        <v>59</v>
      </c>
      <c r="CB1" t="s">
        <v>59</v>
      </c>
      <c r="CC1" t="s">
        <v>59</v>
      </c>
      <c r="CD1" t="s">
        <v>60</v>
      </c>
      <c r="CE1" t="s">
        <v>60</v>
      </c>
      <c r="CF1" t="s">
        <v>60</v>
      </c>
      <c r="CG1" t="s">
        <v>60</v>
      </c>
      <c r="CH1" t="s">
        <v>60</v>
      </c>
      <c r="CI1" t="s">
        <v>60</v>
      </c>
      <c r="CJ1" t="s">
        <v>60</v>
      </c>
      <c r="CK1" t="s">
        <v>60</v>
      </c>
      <c r="CL1" t="s">
        <v>60</v>
      </c>
      <c r="CM1" t="s">
        <v>60</v>
      </c>
      <c r="CN1" t="s">
        <v>60</v>
      </c>
      <c r="CO1" t="s">
        <v>60</v>
      </c>
      <c r="CP1" t="s">
        <v>60</v>
      </c>
      <c r="CQ1" t="s">
        <v>60</v>
      </c>
      <c r="CR1" t="s">
        <v>60</v>
      </c>
      <c r="CS1" t="s">
        <v>60</v>
      </c>
      <c r="CT1" t="s">
        <v>60</v>
      </c>
      <c r="CU1" t="s">
        <v>60</v>
      </c>
      <c r="CV1" t="s">
        <v>60</v>
      </c>
      <c r="CW1" t="s">
        <v>60</v>
      </c>
      <c r="CX1" t="s">
        <v>61</v>
      </c>
      <c r="CY1" t="s">
        <v>61</v>
      </c>
      <c r="CZ1" t="s">
        <v>61</v>
      </c>
      <c r="DA1" t="s">
        <v>61</v>
      </c>
      <c r="DB1" t="s">
        <v>61</v>
      </c>
      <c r="DC1" t="s">
        <v>61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61</v>
      </c>
      <c r="DJ1" t="s">
        <v>61</v>
      </c>
      <c r="DK1" t="s">
        <v>61</v>
      </c>
      <c r="DL1" t="s">
        <v>61</v>
      </c>
      <c r="DM1" t="s">
        <v>61</v>
      </c>
      <c r="DN1" t="s">
        <v>61</v>
      </c>
      <c r="DO1" t="s">
        <v>61</v>
      </c>
      <c r="DP1" t="s">
        <v>61</v>
      </c>
      <c r="DQ1" t="s">
        <v>61</v>
      </c>
    </row>
    <row r="2" spans="1:121" x14ac:dyDescent="0.35">
      <c r="A2" t="s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  <c r="V2">
        <v>1</v>
      </c>
      <c r="W2">
        <v>1</v>
      </c>
      <c r="X2">
        <v>1</v>
      </c>
      <c r="Y2">
        <v>1</v>
      </c>
      <c r="Z2">
        <v>2</v>
      </c>
      <c r="AA2">
        <v>2</v>
      </c>
      <c r="AB2">
        <v>2</v>
      </c>
      <c r="AC2">
        <v>2</v>
      </c>
      <c r="AD2">
        <v>3</v>
      </c>
      <c r="AE2">
        <v>3</v>
      </c>
      <c r="AF2">
        <v>3</v>
      </c>
      <c r="AG2">
        <v>3</v>
      </c>
      <c r="AH2">
        <v>4</v>
      </c>
      <c r="AI2">
        <v>4</v>
      </c>
      <c r="AJ2">
        <v>4</v>
      </c>
      <c r="AK2">
        <v>4</v>
      </c>
      <c r="AL2">
        <v>5</v>
      </c>
      <c r="AM2">
        <v>5</v>
      </c>
      <c r="AN2">
        <v>5</v>
      </c>
      <c r="AO2">
        <v>5</v>
      </c>
      <c r="AP2">
        <v>1</v>
      </c>
      <c r="AQ2">
        <v>1</v>
      </c>
      <c r="AR2">
        <v>1</v>
      </c>
      <c r="AS2">
        <v>1</v>
      </c>
      <c r="AT2">
        <v>2</v>
      </c>
      <c r="AU2">
        <v>2</v>
      </c>
      <c r="AV2">
        <v>2</v>
      </c>
      <c r="AW2">
        <v>2</v>
      </c>
      <c r="AX2">
        <v>3</v>
      </c>
      <c r="AY2">
        <v>3</v>
      </c>
      <c r="AZ2">
        <v>3</v>
      </c>
      <c r="BA2">
        <v>3</v>
      </c>
      <c r="BB2">
        <v>4</v>
      </c>
      <c r="BC2">
        <v>4</v>
      </c>
      <c r="BD2">
        <v>4</v>
      </c>
      <c r="BE2">
        <v>4</v>
      </c>
      <c r="BF2">
        <v>5</v>
      </c>
      <c r="BG2">
        <v>5</v>
      </c>
      <c r="BH2">
        <v>5</v>
      </c>
      <c r="BI2">
        <v>5</v>
      </c>
      <c r="BJ2">
        <v>1</v>
      </c>
      <c r="BK2">
        <v>1</v>
      </c>
      <c r="BL2">
        <v>1</v>
      </c>
      <c r="BM2">
        <v>1</v>
      </c>
      <c r="BN2">
        <v>2</v>
      </c>
      <c r="BO2">
        <v>2</v>
      </c>
      <c r="BP2">
        <v>2</v>
      </c>
      <c r="BQ2">
        <v>2</v>
      </c>
      <c r="BR2">
        <v>3</v>
      </c>
      <c r="BS2">
        <v>3</v>
      </c>
      <c r="BT2">
        <v>3</v>
      </c>
      <c r="BU2">
        <v>3</v>
      </c>
      <c r="BV2">
        <v>4</v>
      </c>
      <c r="BW2">
        <v>4</v>
      </c>
      <c r="BX2">
        <v>4</v>
      </c>
      <c r="BY2">
        <v>4</v>
      </c>
      <c r="BZ2">
        <v>5</v>
      </c>
      <c r="CA2">
        <v>5</v>
      </c>
      <c r="CB2">
        <v>5</v>
      </c>
      <c r="CC2">
        <v>5</v>
      </c>
      <c r="CD2">
        <v>1</v>
      </c>
      <c r="CE2">
        <v>1</v>
      </c>
      <c r="CF2">
        <v>1</v>
      </c>
      <c r="CG2">
        <v>1</v>
      </c>
      <c r="CH2">
        <v>2</v>
      </c>
      <c r="CI2">
        <v>2</v>
      </c>
      <c r="CJ2">
        <v>2</v>
      </c>
      <c r="CK2">
        <v>2</v>
      </c>
      <c r="CL2">
        <v>3</v>
      </c>
      <c r="CM2">
        <v>3</v>
      </c>
      <c r="CN2">
        <v>3</v>
      </c>
      <c r="CO2">
        <v>3</v>
      </c>
      <c r="CP2">
        <v>4</v>
      </c>
      <c r="CQ2">
        <v>4</v>
      </c>
      <c r="CR2">
        <v>4</v>
      </c>
      <c r="CS2">
        <v>4</v>
      </c>
      <c r="CT2">
        <v>5</v>
      </c>
      <c r="CU2">
        <v>5</v>
      </c>
      <c r="CV2">
        <v>5</v>
      </c>
      <c r="CW2">
        <v>5</v>
      </c>
      <c r="CX2">
        <v>1</v>
      </c>
      <c r="CY2">
        <v>1</v>
      </c>
      <c r="CZ2">
        <v>1</v>
      </c>
      <c r="DA2">
        <v>1</v>
      </c>
      <c r="DB2">
        <v>2</v>
      </c>
      <c r="DC2">
        <v>2</v>
      </c>
      <c r="DD2">
        <v>2</v>
      </c>
      <c r="DE2">
        <v>2</v>
      </c>
      <c r="DF2">
        <v>3</v>
      </c>
      <c r="DG2">
        <v>3</v>
      </c>
      <c r="DH2">
        <v>3</v>
      </c>
      <c r="DI2">
        <v>3</v>
      </c>
      <c r="DJ2">
        <v>4</v>
      </c>
      <c r="DK2">
        <v>4</v>
      </c>
      <c r="DL2">
        <v>4</v>
      </c>
      <c r="DM2">
        <v>4</v>
      </c>
      <c r="DN2">
        <v>5</v>
      </c>
      <c r="DO2">
        <v>5</v>
      </c>
      <c r="DP2">
        <v>5</v>
      </c>
      <c r="DQ2">
        <v>5</v>
      </c>
    </row>
    <row r="3" spans="1:121" x14ac:dyDescent="0.35">
      <c r="A3" t="s">
        <v>2</v>
      </c>
      <c r="B3" t="s">
        <v>53</v>
      </c>
      <c r="C3" t="s">
        <v>54</v>
      </c>
      <c r="D3" t="s">
        <v>55</v>
      </c>
      <c r="E3" t="s">
        <v>56</v>
      </c>
      <c r="F3" t="s">
        <v>53</v>
      </c>
      <c r="G3" t="s">
        <v>54</v>
      </c>
      <c r="H3" t="s">
        <v>55</v>
      </c>
      <c r="I3" t="s">
        <v>56</v>
      </c>
      <c r="J3" t="s">
        <v>53</v>
      </c>
      <c r="K3" t="s">
        <v>54</v>
      </c>
      <c r="L3" t="s">
        <v>55</v>
      </c>
      <c r="M3" t="s">
        <v>56</v>
      </c>
      <c r="N3" t="s">
        <v>53</v>
      </c>
      <c r="O3" t="s">
        <v>54</v>
      </c>
      <c r="P3" t="s">
        <v>55</v>
      </c>
      <c r="Q3" t="s">
        <v>56</v>
      </c>
      <c r="R3" t="s">
        <v>53</v>
      </c>
      <c r="S3" t="s">
        <v>54</v>
      </c>
      <c r="T3" t="s">
        <v>55</v>
      </c>
      <c r="U3" t="s">
        <v>56</v>
      </c>
      <c r="V3" t="s">
        <v>53</v>
      </c>
      <c r="W3" t="s">
        <v>54</v>
      </c>
      <c r="X3" t="s">
        <v>55</v>
      </c>
      <c r="Y3" t="s">
        <v>56</v>
      </c>
      <c r="Z3" t="s">
        <v>53</v>
      </c>
      <c r="AA3" t="s">
        <v>54</v>
      </c>
      <c r="AB3" t="s">
        <v>55</v>
      </c>
      <c r="AC3" t="s">
        <v>56</v>
      </c>
      <c r="AD3" t="s">
        <v>53</v>
      </c>
      <c r="AE3" t="s">
        <v>54</v>
      </c>
      <c r="AF3" t="s">
        <v>55</v>
      </c>
      <c r="AG3" t="s">
        <v>56</v>
      </c>
      <c r="AH3" t="s">
        <v>53</v>
      </c>
      <c r="AI3" t="s">
        <v>54</v>
      </c>
      <c r="AJ3" t="s">
        <v>55</v>
      </c>
      <c r="AK3" t="s">
        <v>56</v>
      </c>
      <c r="AL3" t="s">
        <v>53</v>
      </c>
      <c r="AM3" t="s">
        <v>54</v>
      </c>
      <c r="AN3" t="s">
        <v>55</v>
      </c>
      <c r="AO3" t="s">
        <v>56</v>
      </c>
      <c r="AP3" t="s">
        <v>53</v>
      </c>
      <c r="AQ3" t="s">
        <v>54</v>
      </c>
      <c r="AR3" t="s">
        <v>55</v>
      </c>
      <c r="AS3" t="s">
        <v>56</v>
      </c>
      <c r="AT3" t="s">
        <v>53</v>
      </c>
      <c r="AU3" t="s">
        <v>54</v>
      </c>
      <c r="AV3" t="s">
        <v>55</v>
      </c>
      <c r="AW3" t="s">
        <v>56</v>
      </c>
      <c r="AX3" t="s">
        <v>53</v>
      </c>
      <c r="AY3" t="s">
        <v>54</v>
      </c>
      <c r="AZ3" t="s">
        <v>55</v>
      </c>
      <c r="BA3" t="s">
        <v>56</v>
      </c>
      <c r="BB3" t="s">
        <v>53</v>
      </c>
      <c r="BC3" t="s">
        <v>54</v>
      </c>
      <c r="BD3" t="s">
        <v>55</v>
      </c>
      <c r="BE3" t="s">
        <v>56</v>
      </c>
      <c r="BF3" t="s">
        <v>53</v>
      </c>
      <c r="BG3" t="s">
        <v>54</v>
      </c>
      <c r="BH3" t="s">
        <v>55</v>
      </c>
      <c r="BI3" t="s">
        <v>56</v>
      </c>
      <c r="BJ3" t="s">
        <v>53</v>
      </c>
      <c r="BK3" t="s">
        <v>54</v>
      </c>
      <c r="BL3" t="s">
        <v>55</v>
      </c>
      <c r="BM3" t="s">
        <v>56</v>
      </c>
      <c r="BN3" t="s">
        <v>53</v>
      </c>
      <c r="BO3" t="s">
        <v>54</v>
      </c>
      <c r="BP3" t="s">
        <v>55</v>
      </c>
      <c r="BQ3" t="s">
        <v>56</v>
      </c>
      <c r="BR3" t="s">
        <v>53</v>
      </c>
      <c r="BS3" t="s">
        <v>54</v>
      </c>
      <c r="BT3" t="s">
        <v>55</v>
      </c>
      <c r="BU3" t="s">
        <v>56</v>
      </c>
      <c r="BV3" t="s">
        <v>53</v>
      </c>
      <c r="BW3" t="s">
        <v>54</v>
      </c>
      <c r="BX3" t="s">
        <v>55</v>
      </c>
      <c r="BY3" t="s">
        <v>56</v>
      </c>
      <c r="BZ3" t="s">
        <v>53</v>
      </c>
      <c r="CA3" t="s">
        <v>54</v>
      </c>
      <c r="CB3" t="s">
        <v>55</v>
      </c>
      <c r="CC3" t="s">
        <v>56</v>
      </c>
      <c r="CD3" t="s">
        <v>53</v>
      </c>
      <c r="CE3" t="s">
        <v>54</v>
      </c>
      <c r="CF3" t="s">
        <v>55</v>
      </c>
      <c r="CG3" t="s">
        <v>56</v>
      </c>
      <c r="CH3" t="s">
        <v>53</v>
      </c>
      <c r="CI3" t="s">
        <v>54</v>
      </c>
      <c r="CJ3" t="s">
        <v>55</v>
      </c>
      <c r="CK3" t="s">
        <v>56</v>
      </c>
      <c r="CL3" t="s">
        <v>53</v>
      </c>
      <c r="CM3" t="s">
        <v>54</v>
      </c>
      <c r="CN3" t="s">
        <v>55</v>
      </c>
      <c r="CO3" t="s">
        <v>56</v>
      </c>
      <c r="CP3" t="s">
        <v>53</v>
      </c>
      <c r="CQ3" t="s">
        <v>54</v>
      </c>
      <c r="CR3" t="s">
        <v>55</v>
      </c>
      <c r="CS3" t="s">
        <v>56</v>
      </c>
      <c r="CT3" t="s">
        <v>53</v>
      </c>
      <c r="CU3" t="s">
        <v>54</v>
      </c>
      <c r="CV3" t="s">
        <v>55</v>
      </c>
      <c r="CW3" t="s">
        <v>56</v>
      </c>
      <c r="CX3" t="s">
        <v>53</v>
      </c>
      <c r="CY3" t="s">
        <v>54</v>
      </c>
      <c r="CZ3" t="s">
        <v>55</v>
      </c>
      <c r="DA3" t="s">
        <v>56</v>
      </c>
      <c r="DB3" t="s">
        <v>53</v>
      </c>
      <c r="DC3" t="s">
        <v>54</v>
      </c>
      <c r="DD3" t="s">
        <v>55</v>
      </c>
      <c r="DE3" t="s">
        <v>56</v>
      </c>
      <c r="DF3" t="s">
        <v>53</v>
      </c>
      <c r="DG3" t="s">
        <v>54</v>
      </c>
      <c r="DH3" t="s">
        <v>55</v>
      </c>
      <c r="DI3" t="s">
        <v>56</v>
      </c>
      <c r="DJ3" t="s">
        <v>53</v>
      </c>
      <c r="DK3" t="s">
        <v>54</v>
      </c>
      <c r="DL3" t="s">
        <v>55</v>
      </c>
      <c r="DM3" t="s">
        <v>56</v>
      </c>
      <c r="DN3" t="s">
        <v>53</v>
      </c>
      <c r="DO3" t="s">
        <v>54</v>
      </c>
      <c r="DP3" t="s">
        <v>55</v>
      </c>
      <c r="DQ3" t="s">
        <v>56</v>
      </c>
    </row>
    <row r="4" spans="1:121" x14ac:dyDescent="0.35">
      <c r="A4" t="s">
        <v>4</v>
      </c>
      <c r="B4">
        <v>18</v>
      </c>
      <c r="C4">
        <v>0</v>
      </c>
      <c r="D4">
        <v>25</v>
      </c>
      <c r="E4">
        <v>17</v>
      </c>
      <c r="F4">
        <v>0</v>
      </c>
      <c r="G4">
        <v>0</v>
      </c>
      <c r="H4">
        <v>7</v>
      </c>
      <c r="I4">
        <v>0</v>
      </c>
      <c r="J4">
        <v>0</v>
      </c>
      <c r="K4">
        <v>15</v>
      </c>
      <c r="L4">
        <v>0</v>
      </c>
      <c r="M4">
        <v>0</v>
      </c>
      <c r="N4">
        <v>24</v>
      </c>
      <c r="O4">
        <v>31</v>
      </c>
      <c r="P4">
        <v>10</v>
      </c>
      <c r="Q4">
        <v>12</v>
      </c>
      <c r="R4">
        <v>13</v>
      </c>
      <c r="S4">
        <v>18</v>
      </c>
      <c r="T4">
        <v>25</v>
      </c>
      <c r="U4">
        <v>12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9</v>
      </c>
      <c r="AK4">
        <v>4</v>
      </c>
      <c r="AL4">
        <v>0</v>
      </c>
      <c r="AM4">
        <v>0</v>
      </c>
      <c r="AN4">
        <v>0</v>
      </c>
      <c r="AO4">
        <v>0</v>
      </c>
      <c r="AP4">
        <v>123</v>
      </c>
      <c r="AQ4">
        <v>118</v>
      </c>
      <c r="AR4">
        <v>99</v>
      </c>
      <c r="AS4">
        <v>115</v>
      </c>
      <c r="AT4">
        <v>109</v>
      </c>
      <c r="AU4">
        <v>125</v>
      </c>
      <c r="AV4">
        <v>101</v>
      </c>
      <c r="AW4">
        <v>99</v>
      </c>
      <c r="AX4">
        <v>136</v>
      </c>
      <c r="AY4">
        <v>71</v>
      </c>
      <c r="AZ4">
        <v>22</v>
      </c>
      <c r="BA4">
        <v>13</v>
      </c>
      <c r="BB4">
        <v>129</v>
      </c>
      <c r="BC4">
        <v>26</v>
      </c>
      <c r="BD4">
        <v>36</v>
      </c>
      <c r="BE4">
        <v>26</v>
      </c>
      <c r="BF4">
        <v>64</v>
      </c>
      <c r="BG4">
        <v>61</v>
      </c>
      <c r="BH4">
        <v>94</v>
      </c>
      <c r="BI4">
        <v>97</v>
      </c>
      <c r="BJ4">
        <v>31</v>
      </c>
      <c r="BK4">
        <v>34</v>
      </c>
      <c r="BL4">
        <v>56</v>
      </c>
      <c r="BM4">
        <v>60</v>
      </c>
      <c r="BN4">
        <v>54</v>
      </c>
      <c r="BO4">
        <v>39</v>
      </c>
      <c r="BP4">
        <v>86</v>
      </c>
      <c r="BQ4">
        <v>25</v>
      </c>
      <c r="BR4">
        <v>49</v>
      </c>
      <c r="BS4">
        <v>37</v>
      </c>
      <c r="BT4">
        <v>37</v>
      </c>
      <c r="BU4">
        <v>42</v>
      </c>
      <c r="BV4">
        <v>44</v>
      </c>
      <c r="BW4">
        <v>37</v>
      </c>
      <c r="BX4">
        <v>42</v>
      </c>
      <c r="BY4">
        <v>33</v>
      </c>
      <c r="BZ4">
        <v>38</v>
      </c>
      <c r="CA4">
        <v>33</v>
      </c>
      <c r="CB4">
        <v>49</v>
      </c>
      <c r="CC4">
        <v>52</v>
      </c>
      <c r="CD4">
        <v>39</v>
      </c>
      <c r="CE4">
        <v>31</v>
      </c>
      <c r="CF4">
        <v>90</v>
      </c>
      <c r="CG4">
        <v>36</v>
      </c>
      <c r="CH4">
        <v>48</v>
      </c>
      <c r="CI4">
        <v>52</v>
      </c>
      <c r="CJ4">
        <v>59</v>
      </c>
      <c r="CK4">
        <v>47</v>
      </c>
      <c r="CL4">
        <v>44</v>
      </c>
      <c r="CM4">
        <v>22</v>
      </c>
      <c r="CN4">
        <v>51</v>
      </c>
      <c r="CO4">
        <v>69</v>
      </c>
      <c r="CP4">
        <v>78</v>
      </c>
      <c r="CQ4">
        <v>41</v>
      </c>
      <c r="CR4">
        <v>50</v>
      </c>
      <c r="CS4">
        <v>46</v>
      </c>
      <c r="CT4">
        <v>60</v>
      </c>
      <c r="CU4">
        <v>34</v>
      </c>
      <c r="CV4">
        <v>48</v>
      </c>
      <c r="CW4">
        <v>63</v>
      </c>
      <c r="CX4">
        <v>17</v>
      </c>
      <c r="CY4">
        <v>12</v>
      </c>
      <c r="CZ4">
        <v>10</v>
      </c>
      <c r="DA4">
        <v>7</v>
      </c>
      <c r="DB4">
        <v>17</v>
      </c>
      <c r="DC4">
        <v>40</v>
      </c>
      <c r="DD4">
        <v>15</v>
      </c>
      <c r="DE4">
        <v>29</v>
      </c>
      <c r="DF4">
        <v>45</v>
      </c>
      <c r="DG4">
        <v>44</v>
      </c>
      <c r="DH4">
        <v>27</v>
      </c>
      <c r="DI4">
        <v>32</v>
      </c>
      <c r="DJ4">
        <v>47</v>
      </c>
      <c r="DK4">
        <v>31</v>
      </c>
      <c r="DL4">
        <v>12</v>
      </c>
      <c r="DM4">
        <v>41</v>
      </c>
      <c r="DN4">
        <v>18</v>
      </c>
      <c r="DO4">
        <v>32</v>
      </c>
      <c r="DP4">
        <v>10</v>
      </c>
      <c r="DQ4">
        <v>44</v>
      </c>
    </row>
    <row r="5" spans="1:121" x14ac:dyDescent="0.35">
      <c r="A5" t="s">
        <v>12</v>
      </c>
      <c r="B5">
        <v>0</v>
      </c>
      <c r="C5">
        <v>0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19</v>
      </c>
      <c r="K5">
        <v>8</v>
      </c>
      <c r="L5">
        <v>43</v>
      </c>
      <c r="M5">
        <v>29</v>
      </c>
      <c r="N5">
        <v>0</v>
      </c>
      <c r="O5">
        <v>0</v>
      </c>
      <c r="P5">
        <v>0</v>
      </c>
      <c r="Q5">
        <v>0</v>
      </c>
      <c r="R5">
        <v>0</v>
      </c>
      <c r="S5">
        <v>9</v>
      </c>
      <c r="T5">
        <v>0</v>
      </c>
      <c r="U5">
        <v>0</v>
      </c>
      <c r="V5">
        <v>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7</v>
      </c>
      <c r="AK5">
        <v>0</v>
      </c>
      <c r="AL5">
        <v>5</v>
      </c>
      <c r="AM5">
        <v>12</v>
      </c>
      <c r="AN5">
        <v>11</v>
      </c>
      <c r="AO5">
        <v>0</v>
      </c>
      <c r="AP5">
        <v>15</v>
      </c>
      <c r="AQ5">
        <v>15</v>
      </c>
      <c r="AR5">
        <v>0</v>
      </c>
      <c r="AS5">
        <v>0</v>
      </c>
      <c r="AT5">
        <v>28</v>
      </c>
      <c r="AU5">
        <v>31</v>
      </c>
      <c r="AV5">
        <v>15</v>
      </c>
      <c r="AW5">
        <v>48</v>
      </c>
      <c r="AX5">
        <v>12</v>
      </c>
      <c r="AY5">
        <v>9</v>
      </c>
      <c r="AZ5">
        <v>4</v>
      </c>
      <c r="BA5">
        <v>8</v>
      </c>
      <c r="BB5">
        <v>9</v>
      </c>
      <c r="BC5">
        <v>0</v>
      </c>
      <c r="BD5">
        <v>0</v>
      </c>
      <c r="BE5">
        <v>0</v>
      </c>
      <c r="BF5">
        <v>8</v>
      </c>
      <c r="BG5">
        <v>17</v>
      </c>
      <c r="BH5">
        <v>14</v>
      </c>
      <c r="BI5">
        <v>23</v>
      </c>
      <c r="BJ5">
        <v>20</v>
      </c>
      <c r="BK5">
        <v>15</v>
      </c>
      <c r="BL5">
        <v>15</v>
      </c>
      <c r="BM5">
        <v>20</v>
      </c>
      <c r="BN5">
        <v>13</v>
      </c>
      <c r="BO5">
        <v>26</v>
      </c>
      <c r="BP5">
        <v>33</v>
      </c>
      <c r="BQ5">
        <v>19</v>
      </c>
      <c r="BR5">
        <v>29</v>
      </c>
      <c r="BS5">
        <v>28</v>
      </c>
      <c r="BT5">
        <v>28</v>
      </c>
      <c r="BU5">
        <v>10</v>
      </c>
      <c r="BV5">
        <v>8</v>
      </c>
      <c r="BW5">
        <v>15</v>
      </c>
      <c r="BX5">
        <v>13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7</v>
      </c>
      <c r="CI5">
        <v>12</v>
      </c>
      <c r="CJ5">
        <v>0</v>
      </c>
      <c r="CK5">
        <v>11</v>
      </c>
      <c r="CL5">
        <v>8</v>
      </c>
      <c r="CM5">
        <v>3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22</v>
      </c>
      <c r="CU5">
        <v>0</v>
      </c>
      <c r="CV5">
        <v>0</v>
      </c>
      <c r="CW5">
        <v>11</v>
      </c>
      <c r="CX5">
        <v>11</v>
      </c>
      <c r="CY5">
        <v>32</v>
      </c>
      <c r="CZ5">
        <v>16</v>
      </c>
      <c r="DA5">
        <v>8</v>
      </c>
      <c r="DB5">
        <v>10</v>
      </c>
      <c r="DC5">
        <v>24</v>
      </c>
      <c r="DD5">
        <v>7</v>
      </c>
      <c r="DE5">
        <v>62</v>
      </c>
      <c r="DF5">
        <v>108</v>
      </c>
      <c r="DG5">
        <v>72</v>
      </c>
      <c r="DH5">
        <v>69</v>
      </c>
      <c r="DI5">
        <v>67</v>
      </c>
      <c r="DJ5">
        <v>72</v>
      </c>
      <c r="DK5">
        <v>67</v>
      </c>
      <c r="DL5">
        <v>13</v>
      </c>
      <c r="DM5">
        <v>134</v>
      </c>
      <c r="DN5">
        <v>17</v>
      </c>
      <c r="DO5">
        <v>33</v>
      </c>
      <c r="DP5">
        <v>40</v>
      </c>
      <c r="DQ5">
        <v>8</v>
      </c>
    </row>
    <row r="6" spans="1:121" x14ac:dyDescent="0.35">
      <c r="A6" t="s">
        <v>9</v>
      </c>
      <c r="B6">
        <v>0</v>
      </c>
      <c r="C6">
        <v>23</v>
      </c>
      <c r="D6">
        <v>0</v>
      </c>
      <c r="E6">
        <v>23</v>
      </c>
      <c r="F6">
        <v>6</v>
      </c>
      <c r="G6">
        <v>17</v>
      </c>
      <c r="H6">
        <v>25</v>
      </c>
      <c r="I6">
        <v>22</v>
      </c>
      <c r="J6">
        <v>38</v>
      </c>
      <c r="K6">
        <v>36</v>
      </c>
      <c r="L6">
        <v>24</v>
      </c>
      <c r="M6">
        <v>32</v>
      </c>
      <c r="N6">
        <v>24</v>
      </c>
      <c r="O6">
        <v>22</v>
      </c>
      <c r="P6">
        <v>23</v>
      </c>
      <c r="Q6">
        <v>8</v>
      </c>
      <c r="R6">
        <v>30</v>
      </c>
      <c r="S6">
        <v>54</v>
      </c>
      <c r="T6">
        <v>35</v>
      </c>
      <c r="U6">
        <v>29</v>
      </c>
      <c r="V6">
        <v>4</v>
      </c>
      <c r="W6">
        <v>0</v>
      </c>
      <c r="X6">
        <v>0</v>
      </c>
      <c r="Y6">
        <v>0</v>
      </c>
      <c r="Z6">
        <v>15</v>
      </c>
      <c r="AA6">
        <v>14</v>
      </c>
      <c r="AB6">
        <v>9</v>
      </c>
      <c r="AC6">
        <v>0</v>
      </c>
      <c r="AD6">
        <v>2</v>
      </c>
      <c r="AE6">
        <v>5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16</v>
      </c>
      <c r="AZ6">
        <v>1</v>
      </c>
      <c r="BA6">
        <v>7</v>
      </c>
      <c r="BB6">
        <v>11</v>
      </c>
      <c r="BC6">
        <v>10</v>
      </c>
      <c r="BD6">
        <v>0</v>
      </c>
      <c r="BE6">
        <v>11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5</v>
      </c>
      <c r="CB6">
        <v>0</v>
      </c>
      <c r="CC6">
        <v>11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16</v>
      </c>
      <c r="CU6">
        <v>6</v>
      </c>
      <c r="CV6">
        <v>13</v>
      </c>
      <c r="CW6">
        <v>0</v>
      </c>
      <c r="CX6">
        <v>11</v>
      </c>
      <c r="CY6">
        <v>15</v>
      </c>
      <c r="CZ6">
        <v>0</v>
      </c>
      <c r="DA6">
        <v>11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35">
      <c r="A7" t="s">
        <v>6</v>
      </c>
      <c r="B7">
        <v>15</v>
      </c>
      <c r="C7">
        <v>19</v>
      </c>
      <c r="D7">
        <v>40</v>
      </c>
      <c r="E7">
        <v>18</v>
      </c>
      <c r="F7">
        <v>3</v>
      </c>
      <c r="G7">
        <v>10</v>
      </c>
      <c r="H7">
        <v>8</v>
      </c>
      <c r="I7">
        <v>10</v>
      </c>
      <c r="J7">
        <v>12</v>
      </c>
      <c r="K7">
        <v>0</v>
      </c>
      <c r="L7">
        <v>12</v>
      </c>
      <c r="M7">
        <v>0</v>
      </c>
      <c r="N7">
        <v>6</v>
      </c>
      <c r="O7">
        <v>15</v>
      </c>
      <c r="P7">
        <v>12</v>
      </c>
      <c r="Q7">
        <v>6</v>
      </c>
      <c r="R7">
        <v>16</v>
      </c>
      <c r="S7">
        <v>0</v>
      </c>
      <c r="T7">
        <v>8</v>
      </c>
      <c r="U7">
        <v>10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18</v>
      </c>
      <c r="BN7">
        <v>0</v>
      </c>
      <c r="BO7">
        <v>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12</v>
      </c>
      <c r="CD7">
        <v>0</v>
      </c>
      <c r="CE7">
        <v>0</v>
      </c>
      <c r="CF7">
        <v>0</v>
      </c>
      <c r="CG7">
        <v>3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5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 spans="1:121" x14ac:dyDescent="0.35">
      <c r="A8" t="s">
        <v>11</v>
      </c>
      <c r="B8">
        <v>0</v>
      </c>
      <c r="C8">
        <v>0</v>
      </c>
      <c r="D8">
        <v>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10</v>
      </c>
      <c r="BF8">
        <v>0</v>
      </c>
      <c r="BG8">
        <v>0</v>
      </c>
      <c r="BH8">
        <v>0</v>
      </c>
      <c r="BI8">
        <v>8</v>
      </c>
      <c r="BJ8">
        <v>13</v>
      </c>
      <c r="BK8">
        <v>22</v>
      </c>
      <c r="BL8">
        <v>24</v>
      </c>
      <c r="BM8">
        <v>9</v>
      </c>
      <c r="BN8">
        <v>18</v>
      </c>
      <c r="BO8">
        <v>38</v>
      </c>
      <c r="BP8">
        <v>38</v>
      </c>
      <c r="BQ8">
        <v>11</v>
      </c>
      <c r="BR8">
        <v>40</v>
      </c>
      <c r="BS8">
        <v>8</v>
      </c>
      <c r="BT8">
        <v>8</v>
      </c>
      <c r="BU8">
        <v>13</v>
      </c>
      <c r="BV8">
        <v>13</v>
      </c>
      <c r="BW8">
        <v>23</v>
      </c>
      <c r="BX8">
        <v>16</v>
      </c>
      <c r="BY8">
        <v>25</v>
      </c>
      <c r="BZ8">
        <v>35</v>
      </c>
      <c r="CA8">
        <v>25</v>
      </c>
      <c r="CB8">
        <v>22</v>
      </c>
      <c r="CC8">
        <v>17</v>
      </c>
      <c r="CD8">
        <v>6</v>
      </c>
      <c r="CE8">
        <v>0</v>
      </c>
      <c r="CF8">
        <v>14</v>
      </c>
      <c r="CG8">
        <v>0</v>
      </c>
      <c r="CH8">
        <v>29</v>
      </c>
      <c r="CI8">
        <v>26</v>
      </c>
      <c r="CJ8">
        <v>22</v>
      </c>
      <c r="CK8">
        <v>11</v>
      </c>
      <c r="CL8">
        <v>8</v>
      </c>
      <c r="CM8">
        <v>10</v>
      </c>
      <c r="CN8">
        <v>22</v>
      </c>
      <c r="CO8">
        <v>14</v>
      </c>
      <c r="CP8">
        <v>8</v>
      </c>
      <c r="CQ8">
        <v>20</v>
      </c>
      <c r="CR8">
        <v>14</v>
      </c>
      <c r="CS8">
        <v>24</v>
      </c>
      <c r="CT8">
        <v>0</v>
      </c>
      <c r="CU8">
        <v>10</v>
      </c>
      <c r="CV8">
        <v>16</v>
      </c>
      <c r="CW8">
        <v>21</v>
      </c>
      <c r="CX8">
        <v>0</v>
      </c>
      <c r="CY8">
        <v>0</v>
      </c>
      <c r="CZ8">
        <v>9</v>
      </c>
      <c r="DA8">
        <v>0</v>
      </c>
      <c r="DB8">
        <v>10</v>
      </c>
      <c r="DC8">
        <v>0</v>
      </c>
      <c r="DD8">
        <v>3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3</v>
      </c>
      <c r="DL8">
        <v>0</v>
      </c>
      <c r="DM8">
        <v>9</v>
      </c>
      <c r="DN8">
        <v>0</v>
      </c>
      <c r="DO8">
        <v>0</v>
      </c>
      <c r="DP8">
        <v>0</v>
      </c>
      <c r="DQ8">
        <v>0</v>
      </c>
    </row>
    <row r="9" spans="1:121" x14ac:dyDescent="0.35">
      <c r="A9" t="s">
        <v>5</v>
      </c>
      <c r="B9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12</v>
      </c>
      <c r="W9">
        <v>0</v>
      </c>
      <c r="X9">
        <v>10</v>
      </c>
      <c r="Y9">
        <v>14</v>
      </c>
      <c r="Z9">
        <v>0</v>
      </c>
      <c r="AA9">
        <v>14</v>
      </c>
      <c r="AB9">
        <v>0</v>
      </c>
      <c r="AC9">
        <v>21</v>
      </c>
      <c r="AD9">
        <v>0</v>
      </c>
      <c r="AE9">
        <v>0</v>
      </c>
      <c r="AF9">
        <v>1</v>
      </c>
      <c r="AG9">
        <v>4</v>
      </c>
      <c r="AH9">
        <v>7</v>
      </c>
      <c r="AI9">
        <v>8</v>
      </c>
      <c r="AJ9">
        <v>16</v>
      </c>
      <c r="AK9">
        <v>0</v>
      </c>
      <c r="AL9">
        <v>8</v>
      </c>
      <c r="AM9">
        <v>25</v>
      </c>
      <c r="AN9">
        <v>21</v>
      </c>
      <c r="AO9">
        <v>10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10</v>
      </c>
      <c r="BK9">
        <v>10</v>
      </c>
      <c r="BL9">
        <v>18</v>
      </c>
      <c r="BM9">
        <v>0</v>
      </c>
      <c r="BN9">
        <v>10</v>
      </c>
      <c r="BO9">
        <v>13</v>
      </c>
      <c r="BP9">
        <v>33</v>
      </c>
      <c r="BQ9">
        <v>15</v>
      </c>
      <c r="BR9">
        <v>15</v>
      </c>
      <c r="BS9">
        <v>14</v>
      </c>
      <c r="BT9">
        <v>14</v>
      </c>
      <c r="BU9">
        <v>0</v>
      </c>
      <c r="BV9">
        <v>13</v>
      </c>
      <c r="BW9">
        <v>0</v>
      </c>
      <c r="BX9">
        <v>0</v>
      </c>
      <c r="BY9">
        <v>0</v>
      </c>
      <c r="BZ9">
        <v>0</v>
      </c>
      <c r="CA9">
        <v>9</v>
      </c>
      <c r="CB9">
        <v>0</v>
      </c>
      <c r="CC9">
        <v>0</v>
      </c>
      <c r="CD9">
        <v>13</v>
      </c>
      <c r="CE9">
        <v>0</v>
      </c>
      <c r="CF9">
        <v>31</v>
      </c>
      <c r="CG9">
        <v>3</v>
      </c>
      <c r="CH9">
        <v>17</v>
      </c>
      <c r="CI9">
        <v>19</v>
      </c>
      <c r="CJ9">
        <v>16</v>
      </c>
      <c r="CK9">
        <v>17</v>
      </c>
      <c r="CL9">
        <v>14</v>
      </c>
      <c r="CM9">
        <v>0</v>
      </c>
      <c r="CN9">
        <v>12</v>
      </c>
      <c r="CO9">
        <v>0</v>
      </c>
      <c r="CP9">
        <v>0</v>
      </c>
      <c r="CQ9">
        <v>10</v>
      </c>
      <c r="CR9">
        <v>5</v>
      </c>
      <c r="CS9">
        <v>17</v>
      </c>
      <c r="CT9">
        <v>13</v>
      </c>
      <c r="CU9">
        <v>10</v>
      </c>
      <c r="CV9">
        <v>14</v>
      </c>
      <c r="CW9">
        <v>22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35">
      <c r="A10" t="s">
        <v>3</v>
      </c>
      <c r="B10">
        <v>21</v>
      </c>
      <c r="C10">
        <v>6</v>
      </c>
      <c r="D10">
        <v>18</v>
      </c>
      <c r="E10">
        <v>12</v>
      </c>
      <c r="F10">
        <v>3</v>
      </c>
      <c r="G10">
        <v>0</v>
      </c>
      <c r="H10">
        <v>6</v>
      </c>
      <c r="I10">
        <v>5</v>
      </c>
      <c r="J10">
        <v>0</v>
      </c>
      <c r="K10">
        <v>0</v>
      </c>
      <c r="L10">
        <v>0</v>
      </c>
      <c r="M10">
        <v>0</v>
      </c>
      <c r="N10">
        <v>0</v>
      </c>
      <c r="O10">
        <v>6</v>
      </c>
      <c r="P10">
        <v>0</v>
      </c>
      <c r="Q10">
        <v>0</v>
      </c>
      <c r="R10">
        <v>11</v>
      </c>
      <c r="S10">
        <v>0</v>
      </c>
      <c r="T10">
        <v>0</v>
      </c>
      <c r="U10">
        <v>0</v>
      </c>
      <c r="V10">
        <v>4</v>
      </c>
      <c r="W10">
        <v>5</v>
      </c>
      <c r="X10">
        <v>10</v>
      </c>
      <c r="Y10">
        <v>10</v>
      </c>
      <c r="Z10">
        <v>6</v>
      </c>
      <c r="AA10">
        <v>0</v>
      </c>
      <c r="AB10">
        <v>9</v>
      </c>
      <c r="AC10">
        <v>0</v>
      </c>
      <c r="AD10">
        <v>3</v>
      </c>
      <c r="AE10">
        <v>13</v>
      </c>
      <c r="AF10">
        <v>0</v>
      </c>
      <c r="AG10">
        <v>10</v>
      </c>
      <c r="AH10">
        <v>13</v>
      </c>
      <c r="AI10">
        <v>12</v>
      </c>
      <c r="AJ10">
        <v>11</v>
      </c>
      <c r="AK10">
        <v>12</v>
      </c>
      <c r="AL10">
        <v>6</v>
      </c>
      <c r="AM10">
        <v>13</v>
      </c>
      <c r="AN10">
        <v>14</v>
      </c>
      <c r="AO10">
        <v>3</v>
      </c>
      <c r="AP10">
        <v>0</v>
      </c>
      <c r="AQ10">
        <v>0</v>
      </c>
      <c r="AR10">
        <v>9</v>
      </c>
      <c r="AS10">
        <v>14</v>
      </c>
      <c r="AT10">
        <v>8</v>
      </c>
      <c r="AU10">
        <v>10</v>
      </c>
      <c r="AV10">
        <v>0</v>
      </c>
      <c r="AW10">
        <v>10</v>
      </c>
      <c r="AX10">
        <v>13</v>
      </c>
      <c r="AY10">
        <v>0</v>
      </c>
      <c r="AZ10">
        <v>1</v>
      </c>
      <c r="BA10">
        <v>0</v>
      </c>
      <c r="BB10">
        <v>16</v>
      </c>
      <c r="BC10">
        <v>5</v>
      </c>
      <c r="BD10">
        <v>17</v>
      </c>
      <c r="BE10">
        <v>11</v>
      </c>
      <c r="BF10">
        <v>9</v>
      </c>
      <c r="BG10">
        <v>9</v>
      </c>
      <c r="BH10">
        <v>7</v>
      </c>
      <c r="BI10">
        <v>29</v>
      </c>
      <c r="BJ10">
        <v>0</v>
      </c>
      <c r="BK10">
        <v>8</v>
      </c>
      <c r="BL10">
        <v>0</v>
      </c>
      <c r="BM10">
        <v>7</v>
      </c>
      <c r="BN10">
        <v>0</v>
      </c>
      <c r="BO10">
        <v>0</v>
      </c>
      <c r="BP10">
        <v>0</v>
      </c>
      <c r="BQ10">
        <v>10</v>
      </c>
      <c r="BR10">
        <v>0</v>
      </c>
      <c r="BS10">
        <v>0</v>
      </c>
      <c r="BT10">
        <v>0</v>
      </c>
      <c r="BU10">
        <v>29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8</v>
      </c>
      <c r="CP10">
        <v>0</v>
      </c>
      <c r="CQ10">
        <v>0</v>
      </c>
      <c r="CR10">
        <v>4</v>
      </c>
      <c r="CS10">
        <v>0</v>
      </c>
      <c r="CT10">
        <v>0</v>
      </c>
      <c r="CU10">
        <v>6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2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</row>
    <row r="11" spans="1:121" x14ac:dyDescent="0.35">
      <c r="A11" t="s">
        <v>7</v>
      </c>
      <c r="B11">
        <v>12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</v>
      </c>
      <c r="W11">
        <v>8</v>
      </c>
      <c r="X11">
        <v>19</v>
      </c>
      <c r="Y11">
        <v>25</v>
      </c>
      <c r="Z11">
        <v>15</v>
      </c>
      <c r="AA11">
        <v>13</v>
      </c>
      <c r="AB11">
        <v>15</v>
      </c>
      <c r="AC11">
        <v>20</v>
      </c>
      <c r="AD11">
        <v>24</v>
      </c>
      <c r="AE11">
        <v>45</v>
      </c>
      <c r="AF11">
        <v>11</v>
      </c>
      <c r="AG11">
        <v>60</v>
      </c>
      <c r="AH11">
        <v>30</v>
      </c>
      <c r="AI11">
        <v>36</v>
      </c>
      <c r="AJ11">
        <v>33</v>
      </c>
      <c r="AK11">
        <v>20</v>
      </c>
      <c r="AL11">
        <v>16</v>
      </c>
      <c r="AM11">
        <v>34</v>
      </c>
      <c r="AN11">
        <v>29</v>
      </c>
      <c r="AO11">
        <v>19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7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2</v>
      </c>
      <c r="DO11">
        <v>0</v>
      </c>
      <c r="DP11">
        <v>6</v>
      </c>
      <c r="DQ11">
        <v>18</v>
      </c>
    </row>
    <row r="12" spans="1:121" x14ac:dyDescent="0.35">
      <c r="A12" t="s">
        <v>8</v>
      </c>
      <c r="B12">
        <v>12</v>
      </c>
      <c r="C12">
        <v>0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 t="s">
        <v>10</v>
      </c>
      <c r="B13">
        <v>0</v>
      </c>
      <c r="C13">
        <v>8</v>
      </c>
      <c r="D13">
        <v>0</v>
      </c>
      <c r="E13">
        <v>0</v>
      </c>
      <c r="F13">
        <v>7</v>
      </c>
      <c r="G13">
        <v>11</v>
      </c>
      <c r="H13">
        <v>7</v>
      </c>
      <c r="I13">
        <v>7</v>
      </c>
      <c r="J13">
        <v>10</v>
      </c>
      <c r="K13">
        <v>12</v>
      </c>
      <c r="L13">
        <v>9</v>
      </c>
      <c r="M13">
        <v>12</v>
      </c>
      <c r="N13">
        <v>10</v>
      </c>
      <c r="O13">
        <v>0</v>
      </c>
      <c r="P13">
        <v>9</v>
      </c>
      <c r="Q13">
        <v>4</v>
      </c>
      <c r="R13">
        <v>9</v>
      </c>
      <c r="S13">
        <v>11</v>
      </c>
      <c r="T13">
        <v>7</v>
      </c>
      <c r="U13">
        <v>10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13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18</v>
      </c>
      <c r="X14">
        <v>0</v>
      </c>
      <c r="Y14">
        <v>13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 spans="1:121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12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</v>
      </c>
      <c r="W16">
        <v>5</v>
      </c>
      <c r="X16">
        <v>10</v>
      </c>
      <c r="Y16">
        <v>0</v>
      </c>
      <c r="Z16">
        <v>0</v>
      </c>
      <c r="AA16">
        <v>0</v>
      </c>
      <c r="AB16">
        <v>10</v>
      </c>
      <c r="AC16">
        <v>0</v>
      </c>
      <c r="AD16">
        <v>0</v>
      </c>
      <c r="AE16">
        <v>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6</v>
      </c>
      <c r="AZ16">
        <v>1</v>
      </c>
      <c r="BA16">
        <v>7</v>
      </c>
      <c r="BB16">
        <v>0</v>
      </c>
      <c r="BC16">
        <v>6</v>
      </c>
      <c r="BD16">
        <v>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21</v>
      </c>
      <c r="CF16">
        <v>0</v>
      </c>
      <c r="CG16">
        <v>13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16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9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11</v>
      </c>
      <c r="K19">
        <v>40</v>
      </c>
      <c r="L19">
        <v>8</v>
      </c>
      <c r="M19">
        <v>22</v>
      </c>
      <c r="N19">
        <v>14</v>
      </c>
      <c r="O19">
        <v>24</v>
      </c>
      <c r="P19">
        <v>35</v>
      </c>
      <c r="Q19">
        <v>33</v>
      </c>
      <c r="R19">
        <v>0</v>
      </c>
      <c r="S19">
        <v>0</v>
      </c>
      <c r="T19">
        <v>9</v>
      </c>
      <c r="U19">
        <v>11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7</v>
      </c>
      <c r="BG19">
        <v>20</v>
      </c>
      <c r="BH19">
        <v>0</v>
      </c>
      <c r="BI19">
        <v>0</v>
      </c>
      <c r="BJ19">
        <v>0</v>
      </c>
      <c r="BK19">
        <v>0</v>
      </c>
      <c r="BL19">
        <v>13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9</v>
      </c>
      <c r="BT19">
        <v>9</v>
      </c>
      <c r="BU19">
        <v>20</v>
      </c>
      <c r="BV19">
        <v>8</v>
      </c>
      <c r="BW19">
        <v>12</v>
      </c>
      <c r="BX19">
        <v>19</v>
      </c>
      <c r="BY19">
        <v>13</v>
      </c>
      <c r="BZ19">
        <v>13</v>
      </c>
      <c r="CA19">
        <v>0</v>
      </c>
      <c r="CB19">
        <v>10</v>
      </c>
      <c r="CC19">
        <v>11</v>
      </c>
      <c r="CD19">
        <v>57</v>
      </c>
      <c r="CE19">
        <v>54</v>
      </c>
      <c r="CF19">
        <v>37</v>
      </c>
      <c r="CG19">
        <v>52</v>
      </c>
      <c r="CH19">
        <v>21</v>
      </c>
      <c r="CI19">
        <v>8</v>
      </c>
      <c r="CJ19">
        <v>70</v>
      </c>
      <c r="CK19">
        <v>51</v>
      </c>
      <c r="CL19">
        <v>26</v>
      </c>
      <c r="CM19">
        <v>28</v>
      </c>
      <c r="CN19">
        <v>23</v>
      </c>
      <c r="CO19">
        <v>27</v>
      </c>
      <c r="CP19">
        <v>13</v>
      </c>
      <c r="CQ19">
        <v>30</v>
      </c>
      <c r="CR19">
        <v>18</v>
      </c>
      <c r="CS19">
        <v>35</v>
      </c>
      <c r="CT19">
        <v>86</v>
      </c>
      <c r="CU19">
        <v>91</v>
      </c>
      <c r="CV19">
        <v>59</v>
      </c>
      <c r="CW19">
        <v>44</v>
      </c>
      <c r="CX19">
        <v>9</v>
      </c>
      <c r="CY19">
        <v>0</v>
      </c>
      <c r="CZ19">
        <v>9</v>
      </c>
      <c r="DA19">
        <v>27</v>
      </c>
      <c r="DB19">
        <v>31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</row>
    <row r="21" spans="1:121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9</v>
      </c>
      <c r="T21">
        <v>0</v>
      </c>
      <c r="U21">
        <v>0</v>
      </c>
      <c r="V21">
        <v>4</v>
      </c>
      <c r="W21">
        <v>6</v>
      </c>
      <c r="X21">
        <v>10</v>
      </c>
      <c r="Y21">
        <v>14</v>
      </c>
      <c r="Z21">
        <v>10</v>
      </c>
      <c r="AA21">
        <v>14</v>
      </c>
      <c r="AB21">
        <v>10</v>
      </c>
      <c r="AC21">
        <v>20</v>
      </c>
      <c r="AD21">
        <v>5</v>
      </c>
      <c r="AE21">
        <v>5</v>
      </c>
      <c r="AF21">
        <v>1</v>
      </c>
      <c r="AG21">
        <v>9</v>
      </c>
      <c r="AH21">
        <v>0</v>
      </c>
      <c r="AI21">
        <v>5</v>
      </c>
      <c r="AJ21">
        <v>0</v>
      </c>
      <c r="AK21">
        <v>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10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3</v>
      </c>
      <c r="DP21">
        <v>0</v>
      </c>
      <c r="DQ21">
        <v>0</v>
      </c>
    </row>
    <row r="22" spans="1:121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</v>
      </c>
      <c r="AE22">
        <v>17</v>
      </c>
      <c r="AF22">
        <v>1</v>
      </c>
      <c r="AG22">
        <v>9</v>
      </c>
      <c r="AH22">
        <v>5</v>
      </c>
      <c r="AI22">
        <v>10</v>
      </c>
      <c r="AJ22">
        <v>0</v>
      </c>
      <c r="AK22">
        <v>5</v>
      </c>
      <c r="AL22">
        <v>24</v>
      </c>
      <c r="AM22">
        <v>19</v>
      </c>
      <c r="AN22">
        <v>25</v>
      </c>
      <c r="AO22">
        <v>13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7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8</v>
      </c>
      <c r="BK22">
        <v>8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9</v>
      </c>
      <c r="BX22">
        <v>0</v>
      </c>
      <c r="BY22">
        <v>15</v>
      </c>
      <c r="BZ22">
        <v>10</v>
      </c>
      <c r="CA22">
        <v>13</v>
      </c>
      <c r="CB22">
        <v>11</v>
      </c>
      <c r="CC22">
        <v>11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7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3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4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11</v>
      </c>
      <c r="Y23">
        <v>0</v>
      </c>
      <c r="Z23">
        <v>6</v>
      </c>
      <c r="AA23">
        <v>8</v>
      </c>
      <c r="AB23">
        <v>0</v>
      </c>
      <c r="AC23">
        <v>12</v>
      </c>
      <c r="AD23">
        <v>0</v>
      </c>
      <c r="AE23">
        <v>8</v>
      </c>
      <c r="AF23">
        <v>0</v>
      </c>
      <c r="AG23">
        <v>0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8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29</v>
      </c>
      <c r="AQ25">
        <v>59</v>
      </c>
      <c r="AR25">
        <v>30</v>
      </c>
      <c r="AS25">
        <v>38</v>
      </c>
      <c r="AT25">
        <v>0</v>
      </c>
      <c r="AU25">
        <v>0</v>
      </c>
      <c r="AV25">
        <v>9</v>
      </c>
      <c r="AW25">
        <v>0</v>
      </c>
      <c r="AX25">
        <v>0</v>
      </c>
      <c r="AY25">
        <v>8</v>
      </c>
      <c r="AZ25">
        <v>34</v>
      </c>
      <c r="BA25">
        <v>15</v>
      </c>
      <c r="BB25">
        <v>0</v>
      </c>
      <c r="BC25">
        <v>0</v>
      </c>
      <c r="BD25">
        <v>12</v>
      </c>
      <c r="BE25">
        <v>0</v>
      </c>
      <c r="BF25">
        <v>10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6</v>
      </c>
      <c r="CF25">
        <v>0</v>
      </c>
      <c r="CG25">
        <v>3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10</v>
      </c>
      <c r="CY25">
        <v>24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1</v>
      </c>
      <c r="DG25">
        <v>0</v>
      </c>
      <c r="DH25">
        <v>2</v>
      </c>
      <c r="DI25">
        <v>1</v>
      </c>
      <c r="DJ25">
        <v>2</v>
      </c>
      <c r="DK25">
        <v>0</v>
      </c>
      <c r="DL25">
        <v>0</v>
      </c>
      <c r="DM25">
        <v>0</v>
      </c>
      <c r="DN25">
        <v>1</v>
      </c>
      <c r="DO25">
        <v>9</v>
      </c>
      <c r="DP25">
        <v>0</v>
      </c>
      <c r="DQ25">
        <v>0</v>
      </c>
    </row>
    <row r="26" spans="1:121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</v>
      </c>
      <c r="AQ26">
        <v>15</v>
      </c>
      <c r="AR26">
        <v>11</v>
      </c>
      <c r="AS26">
        <v>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6</v>
      </c>
      <c r="AQ27">
        <v>14</v>
      </c>
      <c r="AR27">
        <v>9</v>
      </c>
      <c r="AS27">
        <v>13</v>
      </c>
      <c r="AT27">
        <v>18</v>
      </c>
      <c r="AU27">
        <v>12</v>
      </c>
      <c r="AV27">
        <v>12</v>
      </c>
      <c r="AW27">
        <v>13</v>
      </c>
      <c r="AX27">
        <v>0</v>
      </c>
      <c r="AY27">
        <v>0</v>
      </c>
      <c r="AZ27">
        <v>2</v>
      </c>
      <c r="BA27">
        <v>0</v>
      </c>
      <c r="BB27">
        <v>17</v>
      </c>
      <c r="BC27">
        <v>0</v>
      </c>
      <c r="BD27">
        <v>0</v>
      </c>
      <c r="BE27">
        <v>0</v>
      </c>
      <c r="BF27">
        <v>0</v>
      </c>
      <c r="BG27">
        <v>6</v>
      </c>
      <c r="BH27">
        <v>18</v>
      </c>
      <c r="BI27">
        <v>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3</v>
      </c>
      <c r="DK27">
        <v>3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28</v>
      </c>
      <c r="AU28">
        <v>8</v>
      </c>
      <c r="AV28">
        <v>16</v>
      </c>
      <c r="AW28">
        <v>8</v>
      </c>
      <c r="AX28">
        <v>9</v>
      </c>
      <c r="AY28">
        <v>0</v>
      </c>
      <c r="AZ28">
        <v>0</v>
      </c>
      <c r="BA28">
        <v>0</v>
      </c>
      <c r="BB28">
        <v>0</v>
      </c>
      <c r="BC28">
        <v>8</v>
      </c>
      <c r="BD28">
        <v>0</v>
      </c>
      <c r="BE28">
        <v>7</v>
      </c>
      <c r="BF28">
        <v>0</v>
      </c>
      <c r="BG28">
        <v>0</v>
      </c>
      <c r="BH28">
        <v>8</v>
      </c>
      <c r="BI28">
        <v>0</v>
      </c>
      <c r="BJ28">
        <v>0</v>
      </c>
      <c r="BK28">
        <v>0</v>
      </c>
      <c r="BL28">
        <v>0</v>
      </c>
      <c r="BM28">
        <v>7</v>
      </c>
      <c r="BN28">
        <v>14</v>
      </c>
      <c r="BO28">
        <v>0</v>
      </c>
      <c r="BP28">
        <v>22</v>
      </c>
      <c r="BQ28">
        <v>0</v>
      </c>
      <c r="BR28">
        <v>13</v>
      </c>
      <c r="BS28">
        <v>8</v>
      </c>
      <c r="BT28">
        <v>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4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7</v>
      </c>
      <c r="CQ28">
        <v>0</v>
      </c>
      <c r="CR28">
        <v>0</v>
      </c>
      <c r="CS28">
        <v>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1</v>
      </c>
      <c r="DF28">
        <v>0</v>
      </c>
      <c r="DG28">
        <v>1</v>
      </c>
      <c r="DH28">
        <v>0</v>
      </c>
      <c r="DI28">
        <v>1</v>
      </c>
      <c r="DJ28">
        <v>2</v>
      </c>
      <c r="DK28">
        <v>0</v>
      </c>
      <c r="DL28">
        <v>0</v>
      </c>
      <c r="DM28">
        <v>0</v>
      </c>
      <c r="DN28">
        <v>1</v>
      </c>
      <c r="DO28">
        <v>13</v>
      </c>
      <c r="DP28">
        <v>0</v>
      </c>
      <c r="DQ28">
        <v>5</v>
      </c>
    </row>
    <row r="29" spans="1:121" x14ac:dyDescent="0.3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2</v>
      </c>
      <c r="DF29">
        <v>1</v>
      </c>
      <c r="DG29">
        <v>2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3</v>
      </c>
      <c r="DO29">
        <v>0</v>
      </c>
      <c r="DP29">
        <v>1</v>
      </c>
      <c r="DQ29">
        <v>0</v>
      </c>
    </row>
    <row r="30" spans="1:121" x14ac:dyDescent="0.3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3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17</v>
      </c>
      <c r="BW31">
        <v>0</v>
      </c>
      <c r="BX31">
        <v>10</v>
      </c>
      <c r="BY31">
        <v>12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</v>
      </c>
      <c r="DD31">
        <v>3</v>
      </c>
      <c r="DE31">
        <v>1</v>
      </c>
      <c r="DF31">
        <v>3</v>
      </c>
      <c r="DG31">
        <v>5</v>
      </c>
      <c r="DH31">
        <v>5</v>
      </c>
      <c r="DI31">
        <v>11</v>
      </c>
      <c r="DJ31">
        <v>0</v>
      </c>
      <c r="DK31">
        <v>0</v>
      </c>
      <c r="DL31">
        <v>0</v>
      </c>
      <c r="DM31">
        <v>7</v>
      </c>
      <c r="DN31">
        <v>1</v>
      </c>
      <c r="DO31">
        <v>0</v>
      </c>
      <c r="DP31">
        <v>1</v>
      </c>
      <c r="DQ31">
        <v>0</v>
      </c>
    </row>
    <row r="32" spans="1:121" x14ac:dyDescent="0.3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6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3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6</v>
      </c>
      <c r="CE33">
        <v>0</v>
      </c>
      <c r="CF33">
        <v>0</v>
      </c>
      <c r="CG33">
        <v>0</v>
      </c>
      <c r="CH33">
        <v>0</v>
      </c>
      <c r="CI33">
        <v>8</v>
      </c>
      <c r="CJ33">
        <v>9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3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3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13</v>
      </c>
      <c r="CM35">
        <v>2</v>
      </c>
      <c r="CN35">
        <v>0</v>
      </c>
      <c r="CO35">
        <v>0</v>
      </c>
      <c r="CP35">
        <v>8</v>
      </c>
      <c r="CQ35">
        <v>0</v>
      </c>
      <c r="CR35">
        <v>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3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3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2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26</v>
      </c>
      <c r="DA38">
        <v>12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11</v>
      </c>
      <c r="DC39">
        <v>2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2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3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3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3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</row>
    <row r="45" spans="1:121" x14ac:dyDescent="0.3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3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</row>
    <row r="47" spans="1:121" x14ac:dyDescent="0.3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3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</row>
    <row r="49" spans="1:121" x14ac:dyDescent="0.3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0</v>
      </c>
      <c r="DP49">
        <v>0</v>
      </c>
      <c r="DQ49">
        <v>0</v>
      </c>
    </row>
    <row r="50" spans="1:121" x14ac:dyDescent="0.3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0</v>
      </c>
    </row>
    <row r="51" spans="1:121" x14ac:dyDescent="0.3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3</v>
      </c>
      <c r="DN51">
        <v>0</v>
      </c>
      <c r="DO51">
        <v>0</v>
      </c>
      <c r="DP51">
        <v>0</v>
      </c>
      <c r="DQ51">
        <v>4</v>
      </c>
    </row>
    <row r="52" spans="1:121" x14ac:dyDescent="0.3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</v>
      </c>
      <c r="DQ52">
        <v>0</v>
      </c>
    </row>
    <row r="54" spans="1:121" x14ac:dyDescent="0.35">
      <c r="B54" t="s">
        <v>53</v>
      </c>
      <c r="C54" t="s">
        <v>54</v>
      </c>
      <c r="D54" t="s">
        <v>55</v>
      </c>
      <c r="E54" t="s">
        <v>56</v>
      </c>
      <c r="F54" t="s">
        <v>53</v>
      </c>
      <c r="G54" t="s">
        <v>54</v>
      </c>
      <c r="H54" t="s">
        <v>55</v>
      </c>
      <c r="I54" t="s">
        <v>56</v>
      </c>
      <c r="J54" t="s">
        <v>53</v>
      </c>
      <c r="K54" t="s">
        <v>54</v>
      </c>
      <c r="L54" t="s">
        <v>55</v>
      </c>
      <c r="M54" t="s">
        <v>56</v>
      </c>
      <c r="N54" t="s">
        <v>53</v>
      </c>
      <c r="O54" t="s">
        <v>54</v>
      </c>
      <c r="P54" t="s">
        <v>55</v>
      </c>
      <c r="Q54" t="s">
        <v>56</v>
      </c>
      <c r="R54" t="s">
        <v>53</v>
      </c>
      <c r="S54" t="s">
        <v>54</v>
      </c>
      <c r="T54" t="s">
        <v>55</v>
      </c>
      <c r="U54" t="s">
        <v>56</v>
      </c>
      <c r="V54" t="s">
        <v>53</v>
      </c>
      <c r="W54" t="s">
        <v>54</v>
      </c>
      <c r="X54" t="s">
        <v>55</v>
      </c>
      <c r="Y54" t="s">
        <v>56</v>
      </c>
      <c r="Z54" t="s">
        <v>53</v>
      </c>
      <c r="AA54" t="s">
        <v>54</v>
      </c>
      <c r="AB54" t="s">
        <v>55</v>
      </c>
      <c r="AC54" t="s">
        <v>56</v>
      </c>
      <c r="AD54" t="s">
        <v>53</v>
      </c>
      <c r="AE54" t="s">
        <v>54</v>
      </c>
      <c r="AF54" t="s">
        <v>55</v>
      </c>
      <c r="AG54" t="s">
        <v>56</v>
      </c>
      <c r="AH54" t="s">
        <v>53</v>
      </c>
      <c r="AI54" t="s">
        <v>54</v>
      </c>
      <c r="AJ54" t="s">
        <v>55</v>
      </c>
      <c r="AK54" t="s">
        <v>56</v>
      </c>
      <c r="AL54" t="s">
        <v>53</v>
      </c>
      <c r="AM54" t="s">
        <v>54</v>
      </c>
      <c r="AN54" t="s">
        <v>55</v>
      </c>
      <c r="AO54" t="s">
        <v>56</v>
      </c>
      <c r="AP54" t="s">
        <v>53</v>
      </c>
      <c r="AQ54" t="s">
        <v>54</v>
      </c>
      <c r="AR54" t="s">
        <v>55</v>
      </c>
      <c r="AS54" t="s">
        <v>56</v>
      </c>
      <c r="AT54" t="s">
        <v>53</v>
      </c>
      <c r="AU54" t="s">
        <v>54</v>
      </c>
      <c r="AV54" t="s">
        <v>55</v>
      </c>
      <c r="AW54" t="s">
        <v>56</v>
      </c>
      <c r="AX54" t="s">
        <v>53</v>
      </c>
      <c r="AY54" t="s">
        <v>54</v>
      </c>
      <c r="AZ54" t="s">
        <v>55</v>
      </c>
      <c r="BA54" t="s">
        <v>56</v>
      </c>
      <c r="BB54" t="s">
        <v>53</v>
      </c>
      <c r="BC54" t="s">
        <v>54</v>
      </c>
      <c r="BD54" t="s">
        <v>55</v>
      </c>
      <c r="BE54" t="s">
        <v>56</v>
      </c>
      <c r="BF54" t="s">
        <v>53</v>
      </c>
      <c r="BG54" t="s">
        <v>54</v>
      </c>
      <c r="BH54" t="s">
        <v>55</v>
      </c>
      <c r="BI54" t="s">
        <v>56</v>
      </c>
      <c r="BJ54" t="s">
        <v>53</v>
      </c>
      <c r="BK54" t="s">
        <v>54</v>
      </c>
      <c r="BL54" t="s">
        <v>55</v>
      </c>
      <c r="BM54" t="s">
        <v>56</v>
      </c>
      <c r="BN54" t="s">
        <v>53</v>
      </c>
      <c r="BO54" t="s">
        <v>54</v>
      </c>
      <c r="BP54" t="s">
        <v>55</v>
      </c>
      <c r="BQ54" t="s">
        <v>56</v>
      </c>
      <c r="BR54" t="s">
        <v>53</v>
      </c>
      <c r="BS54" t="s">
        <v>54</v>
      </c>
      <c r="BT54" t="s">
        <v>55</v>
      </c>
      <c r="BU54" t="s">
        <v>56</v>
      </c>
      <c r="BV54" t="s">
        <v>53</v>
      </c>
      <c r="BW54" t="s">
        <v>54</v>
      </c>
      <c r="BX54" t="s">
        <v>55</v>
      </c>
      <c r="BY54" t="s">
        <v>56</v>
      </c>
      <c r="BZ54" t="s">
        <v>53</v>
      </c>
      <c r="CA54" t="s">
        <v>54</v>
      </c>
      <c r="CB54" t="s">
        <v>55</v>
      </c>
      <c r="CC54" t="s">
        <v>56</v>
      </c>
      <c r="CD54" t="s">
        <v>53</v>
      </c>
      <c r="CE54" t="s">
        <v>54</v>
      </c>
      <c r="CF54" t="s">
        <v>55</v>
      </c>
      <c r="CG54" t="s">
        <v>56</v>
      </c>
      <c r="CH54" t="s">
        <v>53</v>
      </c>
      <c r="CI54" t="s">
        <v>54</v>
      </c>
      <c r="CJ54" t="s">
        <v>55</v>
      </c>
      <c r="CK54" t="s">
        <v>56</v>
      </c>
      <c r="CL54" t="s">
        <v>53</v>
      </c>
      <c r="CM54" t="s">
        <v>54</v>
      </c>
      <c r="CN54" t="s">
        <v>55</v>
      </c>
      <c r="CO54" t="s">
        <v>56</v>
      </c>
      <c r="CP54" t="s">
        <v>53</v>
      </c>
      <c r="CQ54" t="s">
        <v>54</v>
      </c>
      <c r="CR54" t="s">
        <v>55</v>
      </c>
      <c r="CS54" t="s">
        <v>56</v>
      </c>
      <c r="CT54" t="s">
        <v>53</v>
      </c>
      <c r="CU54" t="s">
        <v>54</v>
      </c>
      <c r="CV54" t="s">
        <v>55</v>
      </c>
      <c r="CW54" t="s">
        <v>56</v>
      </c>
      <c r="CX54" t="s">
        <v>53</v>
      </c>
      <c r="CY54" t="s">
        <v>54</v>
      </c>
      <c r="CZ54" t="s">
        <v>55</v>
      </c>
      <c r="DA54" t="s">
        <v>56</v>
      </c>
      <c r="DB54" t="s">
        <v>53</v>
      </c>
      <c r="DC54" t="s">
        <v>54</v>
      </c>
      <c r="DD54" t="s">
        <v>55</v>
      </c>
      <c r="DE54" t="s">
        <v>56</v>
      </c>
      <c r="DF54" t="s">
        <v>53</v>
      </c>
      <c r="DG54" t="s">
        <v>54</v>
      </c>
      <c r="DH54" t="s">
        <v>55</v>
      </c>
      <c r="DI54" t="s">
        <v>56</v>
      </c>
      <c r="DJ54" t="s">
        <v>53</v>
      </c>
      <c r="DK54" t="s">
        <v>54</v>
      </c>
      <c r="DL54" t="s">
        <v>55</v>
      </c>
      <c r="DM54" t="s">
        <v>56</v>
      </c>
      <c r="DN54" t="s">
        <v>53</v>
      </c>
      <c r="DO54" t="s">
        <v>54</v>
      </c>
      <c r="DP54" t="s">
        <v>55</v>
      </c>
      <c r="DQ54" t="s">
        <v>56</v>
      </c>
    </row>
    <row r="55" spans="1:121" x14ac:dyDescent="0.35">
      <c r="A55" t="s">
        <v>81</v>
      </c>
      <c r="B55">
        <v>6</v>
      </c>
      <c r="C55">
        <v>5</v>
      </c>
      <c r="D55">
        <v>5</v>
      </c>
      <c r="E55">
        <v>5</v>
      </c>
      <c r="F55">
        <v>6</v>
      </c>
      <c r="G55">
        <v>5</v>
      </c>
      <c r="H55">
        <v>6</v>
      </c>
      <c r="I55">
        <v>6</v>
      </c>
      <c r="J55">
        <v>5</v>
      </c>
      <c r="K55">
        <v>5</v>
      </c>
      <c r="L55">
        <v>5</v>
      </c>
      <c r="M55">
        <v>5</v>
      </c>
      <c r="N55">
        <v>6</v>
      </c>
      <c r="O55">
        <v>5</v>
      </c>
      <c r="P55">
        <v>5</v>
      </c>
      <c r="Q55">
        <v>6</v>
      </c>
      <c r="R55">
        <v>5</v>
      </c>
      <c r="S55">
        <v>5</v>
      </c>
      <c r="T55">
        <v>5</v>
      </c>
      <c r="U55">
        <v>5</v>
      </c>
      <c r="V55">
        <v>8</v>
      </c>
      <c r="W55">
        <v>5</v>
      </c>
      <c r="X55">
        <v>7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7</v>
      </c>
      <c r="AF55">
        <v>7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6</v>
      </c>
      <c r="AM55">
        <v>5</v>
      </c>
      <c r="AN55">
        <v>5</v>
      </c>
      <c r="AO55">
        <v>6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10</v>
      </c>
      <c r="BA55">
        <v>6</v>
      </c>
      <c r="BB55">
        <v>5</v>
      </c>
      <c r="BC55">
        <v>5</v>
      </c>
      <c r="BD55">
        <v>5</v>
      </c>
      <c r="BE55">
        <v>5</v>
      </c>
      <c r="BF55">
        <v>5</v>
      </c>
      <c r="BG55">
        <v>6</v>
      </c>
      <c r="BH55">
        <v>5</v>
      </c>
      <c r="BI55">
        <v>5</v>
      </c>
      <c r="BJ55">
        <v>5</v>
      </c>
      <c r="BK55">
        <v>7</v>
      </c>
      <c r="BL55">
        <v>5</v>
      </c>
      <c r="BM55">
        <v>6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6</v>
      </c>
      <c r="BT55">
        <v>6</v>
      </c>
      <c r="BU55">
        <v>5</v>
      </c>
      <c r="BV55">
        <v>7</v>
      </c>
      <c r="BW55">
        <v>5</v>
      </c>
      <c r="BX55">
        <v>5</v>
      </c>
      <c r="BY55">
        <v>5</v>
      </c>
      <c r="BZ55">
        <v>5</v>
      </c>
      <c r="CA55">
        <v>5</v>
      </c>
      <c r="CB55">
        <v>5</v>
      </c>
      <c r="CC55">
        <v>6</v>
      </c>
      <c r="CD55">
        <v>5</v>
      </c>
      <c r="CE55">
        <v>5</v>
      </c>
      <c r="CF55">
        <v>5</v>
      </c>
      <c r="CG55">
        <v>7</v>
      </c>
      <c r="CH55">
        <v>5</v>
      </c>
      <c r="CI55">
        <v>6</v>
      </c>
      <c r="CJ55">
        <v>5</v>
      </c>
      <c r="CK55">
        <v>5</v>
      </c>
      <c r="CL55">
        <v>6</v>
      </c>
      <c r="CM55">
        <v>9</v>
      </c>
      <c r="CN55">
        <v>5</v>
      </c>
      <c r="CO55">
        <v>5</v>
      </c>
      <c r="CP55">
        <v>5</v>
      </c>
      <c r="CQ55">
        <v>5</v>
      </c>
      <c r="CR55">
        <v>6</v>
      </c>
      <c r="CS55">
        <v>5</v>
      </c>
      <c r="CT55">
        <v>5</v>
      </c>
      <c r="CU55">
        <v>6</v>
      </c>
      <c r="CV55">
        <v>5</v>
      </c>
      <c r="CW55">
        <v>5</v>
      </c>
      <c r="CX55">
        <v>5</v>
      </c>
      <c r="CY55">
        <v>5</v>
      </c>
      <c r="CZ55">
        <v>5</v>
      </c>
      <c r="DA55">
        <v>5</v>
      </c>
      <c r="DB55">
        <v>5</v>
      </c>
      <c r="DC55">
        <v>9</v>
      </c>
      <c r="DD55">
        <v>7</v>
      </c>
      <c r="DE55">
        <v>12</v>
      </c>
      <c r="DF55">
        <v>8</v>
      </c>
      <c r="DG55">
        <v>7</v>
      </c>
      <c r="DH55">
        <v>5</v>
      </c>
      <c r="DI55">
        <v>10</v>
      </c>
      <c r="DJ55">
        <v>6</v>
      </c>
      <c r="DK55">
        <v>5</v>
      </c>
      <c r="DL55">
        <v>3</v>
      </c>
      <c r="DM55">
        <v>5</v>
      </c>
      <c r="DN55">
        <v>11</v>
      </c>
      <c r="DO55">
        <v>5</v>
      </c>
      <c r="DP55">
        <v>8</v>
      </c>
      <c r="DQ55">
        <v>5</v>
      </c>
    </row>
    <row r="56" spans="1:121" x14ac:dyDescent="0.35">
      <c r="A56" t="s">
        <v>82</v>
      </c>
      <c r="B56">
        <v>94</v>
      </c>
      <c r="C56">
        <v>62</v>
      </c>
      <c r="D56">
        <v>123</v>
      </c>
      <c r="E56">
        <v>81</v>
      </c>
      <c r="F56">
        <v>44</v>
      </c>
      <c r="G56">
        <v>60</v>
      </c>
      <c r="H56">
        <v>59</v>
      </c>
      <c r="I56">
        <v>57</v>
      </c>
      <c r="J56">
        <v>90</v>
      </c>
      <c r="K56">
        <v>111</v>
      </c>
      <c r="L56">
        <v>96</v>
      </c>
      <c r="M56">
        <v>101</v>
      </c>
      <c r="N56">
        <v>84</v>
      </c>
      <c r="O56">
        <v>98</v>
      </c>
      <c r="P56">
        <v>89</v>
      </c>
      <c r="Q56">
        <v>67</v>
      </c>
      <c r="R56">
        <v>79</v>
      </c>
      <c r="S56">
        <v>101</v>
      </c>
      <c r="T56">
        <v>84</v>
      </c>
      <c r="U56">
        <v>72</v>
      </c>
      <c r="V56">
        <v>64</v>
      </c>
      <c r="W56">
        <v>42</v>
      </c>
      <c r="X56">
        <v>80</v>
      </c>
      <c r="Y56">
        <v>76</v>
      </c>
      <c r="Z56">
        <v>52</v>
      </c>
      <c r="AA56">
        <v>63</v>
      </c>
      <c r="AB56">
        <v>53</v>
      </c>
      <c r="AC56">
        <v>85</v>
      </c>
      <c r="AD56">
        <v>41</v>
      </c>
      <c r="AE56">
        <v>98</v>
      </c>
      <c r="AF56">
        <v>17</v>
      </c>
      <c r="AG56">
        <v>92</v>
      </c>
      <c r="AH56">
        <v>58</v>
      </c>
      <c r="AI56">
        <v>71</v>
      </c>
      <c r="AJ56">
        <v>76</v>
      </c>
      <c r="AK56">
        <v>44</v>
      </c>
      <c r="AL56">
        <v>64</v>
      </c>
      <c r="AM56">
        <v>103</v>
      </c>
      <c r="AN56">
        <v>100</v>
      </c>
      <c r="AO56">
        <v>49</v>
      </c>
      <c r="AP56">
        <v>182</v>
      </c>
      <c r="AQ56">
        <v>221</v>
      </c>
      <c r="AR56">
        <v>158</v>
      </c>
      <c r="AS56">
        <v>189</v>
      </c>
      <c r="AT56">
        <v>191</v>
      </c>
      <c r="AU56">
        <v>186</v>
      </c>
      <c r="AV56">
        <v>153</v>
      </c>
      <c r="AW56">
        <v>178</v>
      </c>
      <c r="AX56">
        <v>179</v>
      </c>
      <c r="AY56">
        <v>110</v>
      </c>
      <c r="AZ56">
        <v>68</v>
      </c>
      <c r="BA56">
        <v>57</v>
      </c>
      <c r="BB56">
        <v>182</v>
      </c>
      <c r="BC56">
        <v>55</v>
      </c>
      <c r="BD56">
        <v>78</v>
      </c>
      <c r="BE56">
        <v>65</v>
      </c>
      <c r="BF56">
        <v>98</v>
      </c>
      <c r="BG56">
        <v>119</v>
      </c>
      <c r="BH56">
        <v>141</v>
      </c>
      <c r="BI56">
        <v>165</v>
      </c>
      <c r="BJ56">
        <v>82</v>
      </c>
      <c r="BK56">
        <v>105</v>
      </c>
      <c r="BL56">
        <v>126</v>
      </c>
      <c r="BM56">
        <v>121</v>
      </c>
      <c r="BN56">
        <v>109</v>
      </c>
      <c r="BO56">
        <v>123</v>
      </c>
      <c r="BP56">
        <v>212</v>
      </c>
      <c r="BQ56">
        <v>80</v>
      </c>
      <c r="BR56">
        <v>146</v>
      </c>
      <c r="BS56">
        <v>104</v>
      </c>
      <c r="BT56">
        <v>104</v>
      </c>
      <c r="BU56">
        <v>114</v>
      </c>
      <c r="BV56">
        <v>111</v>
      </c>
      <c r="BW56">
        <v>96</v>
      </c>
      <c r="BX56">
        <v>100</v>
      </c>
      <c r="BY56">
        <v>98</v>
      </c>
      <c r="BZ56">
        <v>108</v>
      </c>
      <c r="CA56">
        <v>85</v>
      </c>
      <c r="CB56">
        <v>112</v>
      </c>
      <c r="CC56">
        <v>114</v>
      </c>
      <c r="CD56">
        <v>121</v>
      </c>
      <c r="CE56">
        <v>117</v>
      </c>
      <c r="CF56">
        <v>177</v>
      </c>
      <c r="CG56">
        <v>114</v>
      </c>
      <c r="CH56">
        <v>122</v>
      </c>
      <c r="CI56">
        <v>125</v>
      </c>
      <c r="CJ56">
        <v>176</v>
      </c>
      <c r="CK56">
        <v>137</v>
      </c>
      <c r="CL56">
        <v>113</v>
      </c>
      <c r="CM56">
        <v>73</v>
      </c>
      <c r="CN56">
        <v>115</v>
      </c>
      <c r="CO56">
        <v>128</v>
      </c>
      <c r="CP56">
        <v>114</v>
      </c>
      <c r="CQ56">
        <v>117</v>
      </c>
      <c r="CR56">
        <v>95</v>
      </c>
      <c r="CS56">
        <v>129</v>
      </c>
      <c r="CT56">
        <v>197</v>
      </c>
      <c r="CU56">
        <v>157</v>
      </c>
      <c r="CV56">
        <v>150</v>
      </c>
      <c r="CW56">
        <v>161</v>
      </c>
      <c r="CX56">
        <v>58</v>
      </c>
      <c r="CY56">
        <v>92</v>
      </c>
      <c r="CZ56">
        <v>70</v>
      </c>
      <c r="DA56">
        <v>65</v>
      </c>
      <c r="DB56">
        <v>79</v>
      </c>
      <c r="DC56">
        <v>79</v>
      </c>
      <c r="DD56">
        <v>42</v>
      </c>
      <c r="DE56">
        <v>103</v>
      </c>
      <c r="DF56">
        <v>161</v>
      </c>
      <c r="DG56">
        <v>126</v>
      </c>
      <c r="DH56">
        <v>107</v>
      </c>
      <c r="DI56">
        <v>118</v>
      </c>
      <c r="DJ56">
        <v>128</v>
      </c>
      <c r="DK56">
        <v>108</v>
      </c>
      <c r="DL56">
        <v>26</v>
      </c>
      <c r="DM56">
        <v>194</v>
      </c>
      <c r="DN56">
        <v>47</v>
      </c>
      <c r="DO56">
        <v>90</v>
      </c>
      <c r="DP56">
        <v>63</v>
      </c>
      <c r="DQ56">
        <v>79</v>
      </c>
    </row>
    <row r="57" spans="1:121" x14ac:dyDescent="0.35">
      <c r="A57" t="s">
        <v>83</v>
      </c>
      <c r="B57">
        <v>0.1736</v>
      </c>
      <c r="C57">
        <v>0.26690000000000003</v>
      </c>
      <c r="D57">
        <v>0.22470000000000001</v>
      </c>
      <c r="E57">
        <v>0.21440000000000001</v>
      </c>
      <c r="F57">
        <v>0.21490000000000001</v>
      </c>
      <c r="G57">
        <v>0.2094</v>
      </c>
      <c r="H57">
        <v>0.24679999999999999</v>
      </c>
      <c r="I57">
        <v>0.22989999999999999</v>
      </c>
      <c r="J57">
        <v>0.26790000000000003</v>
      </c>
      <c r="K57">
        <v>0.2702</v>
      </c>
      <c r="L57">
        <v>0.29449999999999998</v>
      </c>
      <c r="M57">
        <v>0.24790000000000001</v>
      </c>
      <c r="N57">
        <v>0.21540000000000001</v>
      </c>
      <c r="O57">
        <v>0.23760000000000001</v>
      </c>
      <c r="P57">
        <v>0.26250000000000001</v>
      </c>
      <c r="Q57">
        <v>0.30409999999999998</v>
      </c>
      <c r="R57">
        <v>0.2447</v>
      </c>
      <c r="S57">
        <v>0.34539999999999998</v>
      </c>
      <c r="T57">
        <v>0.28970000000000001</v>
      </c>
      <c r="U57">
        <v>0.25190000000000001</v>
      </c>
      <c r="V57">
        <v>0.1699</v>
      </c>
      <c r="W57">
        <v>0.26869999999999999</v>
      </c>
      <c r="X57">
        <v>0.15340000000000001</v>
      </c>
      <c r="Y57">
        <v>0.22259999999999999</v>
      </c>
      <c r="Z57">
        <v>0.23</v>
      </c>
      <c r="AA57">
        <v>0.2069</v>
      </c>
      <c r="AB57">
        <v>0.20899999999999999</v>
      </c>
      <c r="AC57">
        <v>0.21160000000000001</v>
      </c>
      <c r="AD57">
        <v>0.39439999999999997</v>
      </c>
      <c r="AE57">
        <v>0.27300000000000002</v>
      </c>
      <c r="AF57">
        <v>0.43940000000000001</v>
      </c>
      <c r="AG57">
        <v>0.4582</v>
      </c>
      <c r="AH57">
        <v>0.34239999999999998</v>
      </c>
      <c r="AI57">
        <v>0.32319999999999999</v>
      </c>
      <c r="AJ57">
        <v>0.27629999999999999</v>
      </c>
      <c r="AK57">
        <v>0.30680000000000002</v>
      </c>
      <c r="AL57">
        <v>0.2397</v>
      </c>
      <c r="AM57">
        <v>0.23139999999999999</v>
      </c>
      <c r="AN57">
        <v>0.22239999999999999</v>
      </c>
      <c r="AO57">
        <v>0.26950000000000002</v>
      </c>
      <c r="AP57">
        <v>0.49249999999999999</v>
      </c>
      <c r="AQ57">
        <v>0.36959999999999998</v>
      </c>
      <c r="AR57">
        <v>0.44</v>
      </c>
      <c r="AS57">
        <v>0.42309999999999998</v>
      </c>
      <c r="AT57">
        <v>0.37930000000000003</v>
      </c>
      <c r="AU57">
        <v>0.48830000000000001</v>
      </c>
      <c r="AV57">
        <v>0.46589999999999998</v>
      </c>
      <c r="AW57">
        <v>0.3926</v>
      </c>
      <c r="AX57">
        <v>0.59209999999999996</v>
      </c>
      <c r="AY57">
        <v>0.45269999999999999</v>
      </c>
      <c r="AZ57">
        <v>0.36030000000000001</v>
      </c>
      <c r="BA57">
        <v>0.1862</v>
      </c>
      <c r="BB57">
        <v>0.52490000000000003</v>
      </c>
      <c r="BC57">
        <v>0.2979</v>
      </c>
      <c r="BD57">
        <v>0.29820000000000002</v>
      </c>
      <c r="BE57">
        <v>0.2525</v>
      </c>
      <c r="BF57">
        <v>0.45710000000000001</v>
      </c>
      <c r="BG57">
        <v>0.32219999999999999</v>
      </c>
      <c r="BH57">
        <v>0.4763</v>
      </c>
      <c r="BI57">
        <v>0.40060000000000001</v>
      </c>
      <c r="BJ57">
        <v>0.25190000000000001</v>
      </c>
      <c r="BK57">
        <v>0.1956</v>
      </c>
      <c r="BL57">
        <v>0.27900000000000003</v>
      </c>
      <c r="BM57">
        <v>0.30759999999999998</v>
      </c>
      <c r="BN57">
        <v>0.31180000000000002</v>
      </c>
      <c r="BO57">
        <v>0.25509999999999999</v>
      </c>
      <c r="BP57">
        <v>0.25590000000000002</v>
      </c>
      <c r="BQ57">
        <v>0.2238</v>
      </c>
      <c r="BR57">
        <v>0.24560000000000001</v>
      </c>
      <c r="BS57">
        <v>0.23649999999999999</v>
      </c>
      <c r="BT57">
        <v>0.23649999999999999</v>
      </c>
      <c r="BU57">
        <v>0.25190000000000001</v>
      </c>
      <c r="BV57">
        <v>0.22359999999999999</v>
      </c>
      <c r="BW57">
        <v>0.25480000000000003</v>
      </c>
      <c r="BX57">
        <v>0.26500000000000001</v>
      </c>
      <c r="BY57">
        <v>0.23449999999999999</v>
      </c>
      <c r="BZ57">
        <v>0.26419999999999999</v>
      </c>
      <c r="CA57">
        <v>0.27529999999999999</v>
      </c>
      <c r="CB57">
        <v>0.27950000000000003</v>
      </c>
      <c r="CC57">
        <v>0.26929999999999998</v>
      </c>
      <c r="CD57">
        <v>0.34229999999999999</v>
      </c>
      <c r="CE57">
        <v>0.31990000000000002</v>
      </c>
      <c r="CF57">
        <v>0.34</v>
      </c>
      <c r="CG57">
        <v>0.3241</v>
      </c>
      <c r="CH57">
        <v>0.2636</v>
      </c>
      <c r="CI57">
        <v>0.25679999999999997</v>
      </c>
      <c r="CJ57">
        <v>0.29709999999999998</v>
      </c>
      <c r="CK57">
        <v>0.28460000000000002</v>
      </c>
      <c r="CL57">
        <v>0.2432</v>
      </c>
      <c r="CM57">
        <v>0.26219999999999999</v>
      </c>
      <c r="CN57">
        <v>0.28789999999999999</v>
      </c>
      <c r="CO57">
        <v>0.35709999999999997</v>
      </c>
      <c r="CP57">
        <v>0.49480000000000002</v>
      </c>
      <c r="CQ57">
        <v>0.24379999999999999</v>
      </c>
      <c r="CR57">
        <v>0.34089999999999998</v>
      </c>
      <c r="CS57">
        <v>0.25569999999999998</v>
      </c>
      <c r="CT57">
        <v>0.30680000000000002</v>
      </c>
      <c r="CU57">
        <v>0.39389999999999997</v>
      </c>
      <c r="CV57">
        <v>0.28470000000000001</v>
      </c>
      <c r="CW57">
        <v>0.26819999999999999</v>
      </c>
      <c r="CX57">
        <v>0.2117</v>
      </c>
      <c r="CY57">
        <v>0.2422</v>
      </c>
      <c r="CZ57">
        <v>0.2437</v>
      </c>
      <c r="DA57">
        <v>0.26200000000000001</v>
      </c>
      <c r="DB57">
        <v>0.25169999999999998</v>
      </c>
      <c r="DC57">
        <v>0.35389999999999999</v>
      </c>
      <c r="DD57">
        <v>0.20519999999999999</v>
      </c>
      <c r="DE57">
        <v>0.44309999999999999</v>
      </c>
      <c r="DF57">
        <v>0.52859999999999996</v>
      </c>
      <c r="DG57">
        <v>0.45050000000000001</v>
      </c>
      <c r="DH57">
        <v>0.4834</v>
      </c>
      <c r="DI57">
        <v>0.40529999999999999</v>
      </c>
      <c r="DJ57">
        <v>0.45250000000000001</v>
      </c>
      <c r="DK57">
        <v>0.47020000000000001</v>
      </c>
      <c r="DL57">
        <v>0.46450000000000002</v>
      </c>
      <c r="DM57">
        <v>0.52549999999999997</v>
      </c>
      <c r="DN57">
        <v>0.28660000000000002</v>
      </c>
      <c r="DO57">
        <v>0.2928</v>
      </c>
      <c r="DP57">
        <v>0.44069999999999998</v>
      </c>
      <c r="DQ57">
        <v>0.37890000000000001</v>
      </c>
    </row>
    <row r="58" spans="1:121" x14ac:dyDescent="0.35">
      <c r="A58" t="s">
        <v>84</v>
      </c>
      <c r="B58">
        <v>0.82640000000000002</v>
      </c>
      <c r="C58">
        <v>0.73309999999999997</v>
      </c>
      <c r="D58">
        <v>0.77529999999999999</v>
      </c>
      <c r="E58">
        <v>0.78559999999999997</v>
      </c>
      <c r="F58">
        <v>0.78510000000000002</v>
      </c>
      <c r="G58">
        <v>0.79059999999999997</v>
      </c>
      <c r="H58">
        <v>0.75319999999999998</v>
      </c>
      <c r="I58">
        <v>0.77010000000000001</v>
      </c>
      <c r="J58">
        <v>0.73209999999999997</v>
      </c>
      <c r="K58">
        <v>0.7298</v>
      </c>
      <c r="L58">
        <v>0.70550000000000002</v>
      </c>
      <c r="M58">
        <v>0.75209999999999999</v>
      </c>
      <c r="N58">
        <v>0.78459999999999996</v>
      </c>
      <c r="O58">
        <v>0.76239999999999997</v>
      </c>
      <c r="P58">
        <v>0.73750000000000004</v>
      </c>
      <c r="Q58">
        <v>0.69589999999999996</v>
      </c>
      <c r="R58">
        <v>0.75529999999999997</v>
      </c>
      <c r="S58">
        <v>0.65459999999999996</v>
      </c>
      <c r="T58">
        <v>0.71030000000000004</v>
      </c>
      <c r="U58">
        <v>0.74809999999999999</v>
      </c>
      <c r="V58">
        <v>0.83009999999999995</v>
      </c>
      <c r="W58">
        <v>0.73129999999999995</v>
      </c>
      <c r="X58">
        <v>0.84660000000000002</v>
      </c>
      <c r="Y58">
        <v>0.77739999999999998</v>
      </c>
      <c r="Z58">
        <v>0.77</v>
      </c>
      <c r="AA58">
        <v>0.79310000000000003</v>
      </c>
      <c r="AB58">
        <v>0.79100000000000004</v>
      </c>
      <c r="AC58">
        <v>0.78839999999999999</v>
      </c>
      <c r="AD58">
        <v>0.60560000000000003</v>
      </c>
      <c r="AE58">
        <v>0.72699999999999998</v>
      </c>
      <c r="AF58">
        <v>0.56059999999999999</v>
      </c>
      <c r="AG58">
        <v>0.54179999999999995</v>
      </c>
      <c r="AH58">
        <v>0.65759999999999996</v>
      </c>
      <c r="AI58">
        <v>0.67679999999999996</v>
      </c>
      <c r="AJ58">
        <v>0.72370000000000001</v>
      </c>
      <c r="AK58">
        <v>0.69320000000000004</v>
      </c>
      <c r="AL58">
        <v>0.76029999999999998</v>
      </c>
      <c r="AM58">
        <v>0.76859999999999995</v>
      </c>
      <c r="AN58">
        <v>0.77759999999999996</v>
      </c>
      <c r="AO58">
        <v>0.73050000000000004</v>
      </c>
      <c r="AP58">
        <v>0.50749999999999995</v>
      </c>
      <c r="AQ58">
        <v>0.63039999999999996</v>
      </c>
      <c r="AR58">
        <v>0.56000000000000005</v>
      </c>
      <c r="AS58">
        <v>0.57689999999999997</v>
      </c>
      <c r="AT58">
        <v>0.62070000000000003</v>
      </c>
      <c r="AU58">
        <v>0.51170000000000004</v>
      </c>
      <c r="AV58">
        <v>0.53410000000000002</v>
      </c>
      <c r="AW58">
        <v>0.60740000000000005</v>
      </c>
      <c r="AX58">
        <v>0.40789999999999998</v>
      </c>
      <c r="AY58">
        <v>0.54730000000000001</v>
      </c>
      <c r="AZ58">
        <v>0.63970000000000005</v>
      </c>
      <c r="BA58">
        <v>0.81379999999999997</v>
      </c>
      <c r="BB58">
        <v>0.47510000000000002</v>
      </c>
      <c r="BC58">
        <v>0.70209999999999995</v>
      </c>
      <c r="BD58">
        <v>0.70179999999999998</v>
      </c>
      <c r="BE58">
        <v>0.74750000000000005</v>
      </c>
      <c r="BF58">
        <v>0.54290000000000005</v>
      </c>
      <c r="BG58">
        <v>0.67779999999999996</v>
      </c>
      <c r="BH58">
        <v>0.52370000000000005</v>
      </c>
      <c r="BI58">
        <v>0.59940000000000004</v>
      </c>
      <c r="BJ58">
        <v>0.74809999999999999</v>
      </c>
      <c r="BK58">
        <v>0.8044</v>
      </c>
      <c r="BL58">
        <v>0.72099999999999997</v>
      </c>
      <c r="BM58">
        <v>0.69240000000000002</v>
      </c>
      <c r="BN58">
        <v>0.68820000000000003</v>
      </c>
      <c r="BO58">
        <v>0.74490000000000001</v>
      </c>
      <c r="BP58">
        <v>0.74409999999999998</v>
      </c>
      <c r="BQ58">
        <v>0.77629999999999999</v>
      </c>
      <c r="BR58">
        <v>0.75439999999999996</v>
      </c>
      <c r="BS58">
        <v>0.76349999999999996</v>
      </c>
      <c r="BT58">
        <v>0.76349999999999996</v>
      </c>
      <c r="BU58">
        <v>0.74809999999999999</v>
      </c>
      <c r="BV58">
        <v>0.77639999999999998</v>
      </c>
      <c r="BW58">
        <v>0.74519999999999997</v>
      </c>
      <c r="BX58">
        <v>0.73499999999999999</v>
      </c>
      <c r="BY58">
        <v>0.76549999999999996</v>
      </c>
      <c r="BZ58">
        <v>0.73580000000000001</v>
      </c>
      <c r="CA58">
        <v>0.72470000000000001</v>
      </c>
      <c r="CB58">
        <v>0.72050000000000003</v>
      </c>
      <c r="CC58">
        <v>0.73070000000000002</v>
      </c>
      <c r="CD58">
        <v>0.65769999999999995</v>
      </c>
      <c r="CE58">
        <v>0.68010000000000004</v>
      </c>
      <c r="CF58">
        <v>0.66</v>
      </c>
      <c r="CG58">
        <v>0.67589999999999995</v>
      </c>
      <c r="CH58">
        <v>0.73640000000000005</v>
      </c>
      <c r="CI58">
        <v>0.74319999999999997</v>
      </c>
      <c r="CJ58">
        <v>0.70289999999999997</v>
      </c>
      <c r="CK58">
        <v>0.71540000000000004</v>
      </c>
      <c r="CL58">
        <v>0.75680000000000003</v>
      </c>
      <c r="CM58">
        <v>0.73780000000000001</v>
      </c>
      <c r="CN58">
        <v>0.71209999999999996</v>
      </c>
      <c r="CO58">
        <v>0.64290000000000003</v>
      </c>
      <c r="CP58">
        <v>0.50519999999999998</v>
      </c>
      <c r="CQ58">
        <v>0.75619999999999998</v>
      </c>
      <c r="CR58">
        <v>0.65910000000000002</v>
      </c>
      <c r="CS58">
        <v>0.74429999999999996</v>
      </c>
      <c r="CT58">
        <v>0.69320000000000004</v>
      </c>
      <c r="CU58">
        <v>0.60609999999999997</v>
      </c>
      <c r="CV58">
        <v>0.71530000000000005</v>
      </c>
      <c r="CW58">
        <v>0.73180000000000001</v>
      </c>
      <c r="CX58">
        <v>0.7883</v>
      </c>
      <c r="CY58">
        <v>0.75780000000000003</v>
      </c>
      <c r="CZ58">
        <v>0.75629999999999997</v>
      </c>
      <c r="DA58">
        <v>0.73799999999999999</v>
      </c>
      <c r="DB58">
        <v>0.74829999999999997</v>
      </c>
      <c r="DC58">
        <v>0.64610000000000001</v>
      </c>
      <c r="DD58">
        <v>0.79479999999999995</v>
      </c>
      <c r="DE58">
        <v>0.55689999999999995</v>
      </c>
      <c r="DF58">
        <v>0.47139999999999999</v>
      </c>
      <c r="DG58">
        <v>0.54949999999999999</v>
      </c>
      <c r="DH58">
        <v>0.51659999999999995</v>
      </c>
      <c r="DI58">
        <v>0.59470000000000001</v>
      </c>
      <c r="DJ58">
        <v>0.54749999999999999</v>
      </c>
      <c r="DK58">
        <v>0.52980000000000005</v>
      </c>
      <c r="DL58">
        <v>0.53549999999999998</v>
      </c>
      <c r="DM58">
        <v>0.47449999999999998</v>
      </c>
      <c r="DN58">
        <v>0.71340000000000003</v>
      </c>
      <c r="DO58">
        <v>0.70720000000000005</v>
      </c>
      <c r="DP58">
        <v>0.55930000000000002</v>
      </c>
      <c r="DQ58">
        <v>0.62109999999999999</v>
      </c>
    </row>
    <row r="59" spans="1:121" x14ac:dyDescent="0.35">
      <c r="A59" t="s">
        <v>85</v>
      </c>
      <c r="B59">
        <v>1.7709999999999999</v>
      </c>
      <c r="C59">
        <v>1.4470000000000001</v>
      </c>
      <c r="D59">
        <v>1.5509999999999999</v>
      </c>
      <c r="E59">
        <v>1.573</v>
      </c>
      <c r="F59">
        <v>1.645</v>
      </c>
      <c r="G59">
        <v>1.587</v>
      </c>
      <c r="H59">
        <v>1.605</v>
      </c>
      <c r="I59">
        <v>1.633</v>
      </c>
      <c r="J59">
        <v>1.462</v>
      </c>
      <c r="K59">
        <v>1.4339999999999999</v>
      </c>
      <c r="L59">
        <v>1.395</v>
      </c>
      <c r="M59">
        <v>1.4750000000000001</v>
      </c>
      <c r="N59">
        <v>1.645</v>
      </c>
      <c r="O59">
        <v>1.502</v>
      </c>
      <c r="P59">
        <v>1.464</v>
      </c>
      <c r="Q59">
        <v>1.4630000000000001</v>
      </c>
      <c r="R59">
        <v>1.51</v>
      </c>
      <c r="S59">
        <v>1.3149999999999999</v>
      </c>
      <c r="T59">
        <v>1.3959999999999999</v>
      </c>
      <c r="U59">
        <v>1.5</v>
      </c>
      <c r="V59">
        <v>1.9079999999999999</v>
      </c>
      <c r="W59">
        <v>1.464</v>
      </c>
      <c r="X59">
        <v>1.9139999999999999</v>
      </c>
      <c r="Y59">
        <v>1.5580000000000001</v>
      </c>
      <c r="Z59">
        <v>1.5329999999999999</v>
      </c>
      <c r="AA59">
        <v>1.59</v>
      </c>
      <c r="AB59">
        <v>1.589</v>
      </c>
      <c r="AC59">
        <v>1.579</v>
      </c>
      <c r="AD59">
        <v>1.2110000000000001</v>
      </c>
      <c r="AE59">
        <v>1.589</v>
      </c>
      <c r="AF59">
        <v>1.282</v>
      </c>
      <c r="AG59">
        <v>1.111</v>
      </c>
      <c r="AH59">
        <v>1.296</v>
      </c>
      <c r="AI59">
        <v>1.3540000000000001</v>
      </c>
      <c r="AJ59">
        <v>1.4419999999999999</v>
      </c>
      <c r="AK59">
        <v>1.361</v>
      </c>
      <c r="AL59">
        <v>1.595</v>
      </c>
      <c r="AM59">
        <v>1.5329999999999999</v>
      </c>
      <c r="AN59">
        <v>1.5509999999999999</v>
      </c>
      <c r="AO59">
        <v>1.476</v>
      </c>
      <c r="AP59">
        <v>1.024</v>
      </c>
      <c r="AQ59">
        <v>1.228</v>
      </c>
      <c r="AR59">
        <v>1.1200000000000001</v>
      </c>
      <c r="AS59">
        <v>1.147</v>
      </c>
      <c r="AT59">
        <v>1.2390000000000001</v>
      </c>
      <c r="AU59">
        <v>1.0349999999999999</v>
      </c>
      <c r="AV59">
        <v>1.1040000000000001</v>
      </c>
      <c r="AW59">
        <v>1.1719999999999999</v>
      </c>
      <c r="AX59">
        <v>0.88100000000000001</v>
      </c>
      <c r="AY59">
        <v>1.117</v>
      </c>
      <c r="AZ59">
        <v>1.3540000000000001</v>
      </c>
      <c r="BA59">
        <v>1.7370000000000001</v>
      </c>
      <c r="BB59">
        <v>0.99739999999999995</v>
      </c>
      <c r="BC59">
        <v>1.4039999999999999</v>
      </c>
      <c r="BD59">
        <v>1.391</v>
      </c>
      <c r="BE59">
        <v>1.496</v>
      </c>
      <c r="BF59">
        <v>1.123</v>
      </c>
      <c r="BG59">
        <v>1.417</v>
      </c>
      <c r="BH59">
        <v>1.0740000000000001</v>
      </c>
      <c r="BI59">
        <v>1.1859999999999999</v>
      </c>
      <c r="BJ59">
        <v>1.488</v>
      </c>
      <c r="BK59">
        <v>1.7829999999999999</v>
      </c>
      <c r="BL59">
        <v>1.4419999999999999</v>
      </c>
      <c r="BM59">
        <v>1.452</v>
      </c>
      <c r="BN59">
        <v>1.3819999999999999</v>
      </c>
      <c r="BO59">
        <v>1.456</v>
      </c>
      <c r="BP59">
        <v>1.488</v>
      </c>
      <c r="BQ59">
        <v>1.552</v>
      </c>
      <c r="BR59">
        <v>1.4910000000000001</v>
      </c>
      <c r="BS59">
        <v>1.597</v>
      </c>
      <c r="BT59">
        <v>1.597</v>
      </c>
      <c r="BU59">
        <v>1.4830000000000001</v>
      </c>
      <c r="BV59">
        <v>1.7250000000000001</v>
      </c>
      <c r="BW59">
        <v>1.482</v>
      </c>
      <c r="BX59">
        <v>1.4690000000000001</v>
      </c>
      <c r="BY59">
        <v>1.5269999999999999</v>
      </c>
      <c r="BZ59">
        <v>1.452</v>
      </c>
      <c r="CA59">
        <v>1.419</v>
      </c>
      <c r="CB59">
        <v>1.4330000000000001</v>
      </c>
      <c r="CC59">
        <v>1.556</v>
      </c>
      <c r="CD59">
        <v>1.2569999999999999</v>
      </c>
      <c r="CE59">
        <v>1.304</v>
      </c>
      <c r="CF59">
        <v>1.278</v>
      </c>
      <c r="CG59">
        <v>1.3740000000000001</v>
      </c>
      <c r="CH59">
        <v>1.45</v>
      </c>
      <c r="CI59">
        <v>1.5549999999999999</v>
      </c>
      <c r="CJ59">
        <v>1.363</v>
      </c>
      <c r="CK59">
        <v>1.399</v>
      </c>
      <c r="CL59">
        <v>1.5880000000000001</v>
      </c>
      <c r="CM59">
        <v>1.625</v>
      </c>
      <c r="CN59">
        <v>1.405</v>
      </c>
      <c r="CO59">
        <v>1.276</v>
      </c>
      <c r="CP59">
        <v>1.0509999999999999</v>
      </c>
      <c r="CQ59">
        <v>1.5009999999999999</v>
      </c>
      <c r="CR59">
        <v>1.357</v>
      </c>
      <c r="CS59">
        <v>1.46</v>
      </c>
      <c r="CT59">
        <v>1.3520000000000001</v>
      </c>
      <c r="CU59">
        <v>1.248</v>
      </c>
      <c r="CV59">
        <v>1.4039999999999999</v>
      </c>
      <c r="CW59">
        <v>1.4430000000000001</v>
      </c>
      <c r="CX59">
        <v>1.583</v>
      </c>
      <c r="CY59">
        <v>1.5069999999999999</v>
      </c>
      <c r="CZ59">
        <v>1.5109999999999999</v>
      </c>
      <c r="DA59">
        <v>1.4750000000000001</v>
      </c>
      <c r="DB59">
        <v>1.4950000000000001</v>
      </c>
      <c r="DC59">
        <v>1.389</v>
      </c>
      <c r="DD59">
        <v>1.7629999999999999</v>
      </c>
      <c r="DE59">
        <v>1.175</v>
      </c>
      <c r="DF59">
        <v>0.85619999999999996</v>
      </c>
      <c r="DG59">
        <v>0.99609999999999999</v>
      </c>
      <c r="DH59">
        <v>0.9708</v>
      </c>
      <c r="DI59">
        <v>1.208</v>
      </c>
      <c r="DJ59">
        <v>0.97440000000000004</v>
      </c>
      <c r="DK59">
        <v>0.97560000000000002</v>
      </c>
      <c r="DL59">
        <v>0.82869999999999999</v>
      </c>
      <c r="DM59">
        <v>0.91090000000000004</v>
      </c>
      <c r="DN59">
        <v>1.619</v>
      </c>
      <c r="DO59">
        <v>1.359</v>
      </c>
      <c r="DP59">
        <v>1.2130000000000001</v>
      </c>
      <c r="DQ59">
        <v>1.2210000000000001</v>
      </c>
    </row>
    <row r="60" spans="1:121" x14ac:dyDescent="0.35">
      <c r="A60" t="s">
        <v>86</v>
      </c>
      <c r="B60">
        <v>0.97960000000000003</v>
      </c>
      <c r="C60">
        <v>0.84970000000000001</v>
      </c>
      <c r="D60">
        <v>0.94310000000000005</v>
      </c>
      <c r="E60">
        <v>0.96460000000000001</v>
      </c>
      <c r="F60">
        <v>0.86350000000000005</v>
      </c>
      <c r="G60">
        <v>0.97829999999999995</v>
      </c>
      <c r="H60">
        <v>0.83</v>
      </c>
      <c r="I60">
        <v>0.85309999999999997</v>
      </c>
      <c r="J60">
        <v>0.86299999999999999</v>
      </c>
      <c r="K60">
        <v>0.8387</v>
      </c>
      <c r="L60">
        <v>0.80720000000000003</v>
      </c>
      <c r="M60">
        <v>0.87439999999999996</v>
      </c>
      <c r="N60">
        <v>0.86339999999999995</v>
      </c>
      <c r="O60">
        <v>0.89839999999999998</v>
      </c>
      <c r="P60">
        <v>0.86480000000000001</v>
      </c>
      <c r="Q60">
        <v>0.72</v>
      </c>
      <c r="R60">
        <v>0.90539999999999998</v>
      </c>
      <c r="S60">
        <v>0.74460000000000004</v>
      </c>
      <c r="T60">
        <v>0.80759999999999998</v>
      </c>
      <c r="U60">
        <v>0.89659999999999995</v>
      </c>
      <c r="V60">
        <v>0.84240000000000004</v>
      </c>
      <c r="W60">
        <v>0.86439999999999995</v>
      </c>
      <c r="X60">
        <v>0.96850000000000003</v>
      </c>
      <c r="Y60">
        <v>0.94979999999999998</v>
      </c>
      <c r="Z60">
        <v>0.92610000000000003</v>
      </c>
      <c r="AA60">
        <v>0.98119999999999996</v>
      </c>
      <c r="AB60">
        <v>0.97950000000000004</v>
      </c>
      <c r="AC60">
        <v>0.97009999999999996</v>
      </c>
      <c r="AD60">
        <v>0.67110000000000003</v>
      </c>
      <c r="AE60">
        <v>0.7</v>
      </c>
      <c r="AF60">
        <v>0.51459999999999995</v>
      </c>
      <c r="AG60">
        <v>0.60760000000000003</v>
      </c>
      <c r="AH60">
        <v>0.73080000000000001</v>
      </c>
      <c r="AI60">
        <v>0.77439999999999998</v>
      </c>
      <c r="AJ60">
        <v>0.84609999999999996</v>
      </c>
      <c r="AK60">
        <v>0.78</v>
      </c>
      <c r="AL60">
        <v>0.82099999999999995</v>
      </c>
      <c r="AM60">
        <v>0.9264</v>
      </c>
      <c r="AN60">
        <v>0.94359999999999999</v>
      </c>
      <c r="AO60">
        <v>0.72909999999999997</v>
      </c>
      <c r="AP60">
        <v>0.55710000000000004</v>
      </c>
      <c r="AQ60">
        <v>0.68259999999999998</v>
      </c>
      <c r="AR60">
        <v>0.61319999999999997</v>
      </c>
      <c r="AS60">
        <v>0.62960000000000005</v>
      </c>
      <c r="AT60">
        <v>0.69010000000000005</v>
      </c>
      <c r="AU60">
        <v>0.56299999999999994</v>
      </c>
      <c r="AV60">
        <v>0.60340000000000005</v>
      </c>
      <c r="AW60">
        <v>0.64570000000000005</v>
      </c>
      <c r="AX60">
        <v>0.48270000000000002</v>
      </c>
      <c r="AY60">
        <v>0.61119999999999997</v>
      </c>
      <c r="AZ60">
        <v>0.38740000000000002</v>
      </c>
      <c r="BA60">
        <v>0.94640000000000002</v>
      </c>
      <c r="BB60">
        <v>0.5423</v>
      </c>
      <c r="BC60">
        <v>0.8145</v>
      </c>
      <c r="BD60">
        <v>0.8034</v>
      </c>
      <c r="BE60">
        <v>0.89249999999999996</v>
      </c>
      <c r="BF60">
        <v>0.61509999999999998</v>
      </c>
      <c r="BG60">
        <v>0.68730000000000002</v>
      </c>
      <c r="BH60">
        <v>0.58560000000000001</v>
      </c>
      <c r="BI60">
        <v>0.65480000000000005</v>
      </c>
      <c r="BJ60">
        <v>0.88519999999999999</v>
      </c>
      <c r="BK60">
        <v>0.84970000000000001</v>
      </c>
      <c r="BL60">
        <v>0.8458</v>
      </c>
      <c r="BM60">
        <v>0.71179999999999999</v>
      </c>
      <c r="BN60">
        <v>0.7964</v>
      </c>
      <c r="BO60">
        <v>0.8579</v>
      </c>
      <c r="BP60">
        <v>0.88590000000000002</v>
      </c>
      <c r="BQ60">
        <v>0.94369999999999998</v>
      </c>
      <c r="BR60">
        <v>0.88859999999999995</v>
      </c>
      <c r="BS60">
        <v>0.82330000000000003</v>
      </c>
      <c r="BT60">
        <v>0.82330000000000003</v>
      </c>
      <c r="BU60">
        <v>0.88080000000000003</v>
      </c>
      <c r="BV60">
        <v>0.80189999999999995</v>
      </c>
      <c r="BW60">
        <v>0.88009999999999999</v>
      </c>
      <c r="BX60">
        <v>0.86860000000000004</v>
      </c>
      <c r="BY60">
        <v>0.92120000000000002</v>
      </c>
      <c r="BZ60">
        <v>0.85429999999999995</v>
      </c>
      <c r="CA60">
        <v>0.82650000000000001</v>
      </c>
      <c r="CB60">
        <v>0.83789999999999998</v>
      </c>
      <c r="CC60">
        <v>0.78969999999999996</v>
      </c>
      <c r="CD60">
        <v>0.70309999999999995</v>
      </c>
      <c r="CE60">
        <v>0.7369</v>
      </c>
      <c r="CF60">
        <v>0.71760000000000002</v>
      </c>
      <c r="CG60">
        <v>0.56469999999999998</v>
      </c>
      <c r="CH60">
        <v>0.85260000000000002</v>
      </c>
      <c r="CI60">
        <v>0.78890000000000005</v>
      </c>
      <c r="CJ60">
        <v>0.78159999999999996</v>
      </c>
      <c r="CK60">
        <v>0.81010000000000004</v>
      </c>
      <c r="CL60">
        <v>0.8155</v>
      </c>
      <c r="CM60">
        <v>0.56440000000000001</v>
      </c>
      <c r="CN60">
        <v>0.81520000000000004</v>
      </c>
      <c r="CO60">
        <v>0.71640000000000004</v>
      </c>
      <c r="CP60">
        <v>0.57240000000000002</v>
      </c>
      <c r="CQ60">
        <v>0.89700000000000002</v>
      </c>
      <c r="CR60">
        <v>0.64739999999999998</v>
      </c>
      <c r="CS60">
        <v>0.8609</v>
      </c>
      <c r="CT60">
        <v>0.77300000000000002</v>
      </c>
      <c r="CU60">
        <v>0.58040000000000003</v>
      </c>
      <c r="CV60">
        <v>0.81399999999999995</v>
      </c>
      <c r="CW60">
        <v>0.84640000000000004</v>
      </c>
      <c r="CX60">
        <v>0.97340000000000004</v>
      </c>
      <c r="CY60">
        <v>0.90229999999999999</v>
      </c>
      <c r="CZ60">
        <v>0.90600000000000003</v>
      </c>
      <c r="DA60">
        <v>0.87450000000000006</v>
      </c>
      <c r="DB60">
        <v>0.89229999999999998</v>
      </c>
      <c r="DC60">
        <v>0.44569999999999999</v>
      </c>
      <c r="DD60">
        <v>0.83299999999999996</v>
      </c>
      <c r="DE60">
        <v>0.27</v>
      </c>
      <c r="DF60">
        <v>0.29430000000000001</v>
      </c>
      <c r="DG60">
        <v>0.38679999999999998</v>
      </c>
      <c r="DH60">
        <v>0.52800000000000002</v>
      </c>
      <c r="DI60">
        <v>0.3347</v>
      </c>
      <c r="DJ60">
        <v>0.44159999999999999</v>
      </c>
      <c r="DK60">
        <v>0.53059999999999996</v>
      </c>
      <c r="DL60">
        <v>0.76349999999999996</v>
      </c>
      <c r="DM60">
        <v>0.49730000000000002</v>
      </c>
      <c r="DN60">
        <v>0.45879999999999999</v>
      </c>
      <c r="DO60">
        <v>0.7782</v>
      </c>
      <c r="DP60">
        <v>0.42030000000000001</v>
      </c>
      <c r="DQ60">
        <v>0.67779999999999996</v>
      </c>
    </row>
    <row r="61" spans="1:121" x14ac:dyDescent="0.35">
      <c r="A61" t="s">
        <v>87</v>
      </c>
      <c r="B61">
        <v>1.659</v>
      </c>
      <c r="C61">
        <v>1.325</v>
      </c>
      <c r="D61">
        <v>1.476</v>
      </c>
      <c r="E61">
        <v>1.47</v>
      </c>
      <c r="F61">
        <v>1.4570000000000001</v>
      </c>
      <c r="G61">
        <v>1.4570000000000001</v>
      </c>
      <c r="H61">
        <v>1.4530000000000001</v>
      </c>
      <c r="I61">
        <v>1.476</v>
      </c>
      <c r="J61">
        <v>1.369</v>
      </c>
      <c r="K61">
        <v>1.3560000000000001</v>
      </c>
      <c r="L61">
        <v>1.3089999999999999</v>
      </c>
      <c r="M61">
        <v>1.391</v>
      </c>
      <c r="N61">
        <v>1.5269999999999999</v>
      </c>
      <c r="O61">
        <v>1.415</v>
      </c>
      <c r="P61">
        <v>1.371</v>
      </c>
      <c r="Q61">
        <v>1.331</v>
      </c>
      <c r="R61">
        <v>1.4059999999999999</v>
      </c>
      <c r="S61">
        <v>1.2330000000000001</v>
      </c>
      <c r="T61">
        <v>1.3009999999999999</v>
      </c>
      <c r="U61">
        <v>1.389</v>
      </c>
      <c r="V61">
        <v>1.7190000000000001</v>
      </c>
      <c r="W61">
        <v>1.3</v>
      </c>
      <c r="X61">
        <v>1.766</v>
      </c>
      <c r="Y61">
        <v>1.45</v>
      </c>
      <c r="Z61">
        <v>1.39</v>
      </c>
      <c r="AA61">
        <v>1.4650000000000001</v>
      </c>
      <c r="AB61">
        <v>1.446</v>
      </c>
      <c r="AC61">
        <v>1.4790000000000001</v>
      </c>
      <c r="AD61">
        <v>1.06</v>
      </c>
      <c r="AE61">
        <v>1.4730000000000001</v>
      </c>
      <c r="AF61">
        <v>0.94130000000000003</v>
      </c>
      <c r="AG61">
        <v>1.0289999999999999</v>
      </c>
      <c r="AH61">
        <v>1.175</v>
      </c>
      <c r="AI61">
        <v>1.246</v>
      </c>
      <c r="AJ61">
        <v>1.3380000000000001</v>
      </c>
      <c r="AK61">
        <v>1.21</v>
      </c>
      <c r="AL61">
        <v>1.452</v>
      </c>
      <c r="AM61">
        <v>1.448</v>
      </c>
      <c r="AN61">
        <v>1.464</v>
      </c>
      <c r="AO61">
        <v>1.3140000000000001</v>
      </c>
      <c r="AP61">
        <v>0.97740000000000005</v>
      </c>
      <c r="AQ61">
        <v>1.1850000000000001</v>
      </c>
      <c r="AR61">
        <v>1.0660000000000001</v>
      </c>
      <c r="AS61">
        <v>1.099</v>
      </c>
      <c r="AT61">
        <v>1.19</v>
      </c>
      <c r="AU61">
        <v>0.98850000000000005</v>
      </c>
      <c r="AV61">
        <v>1.048</v>
      </c>
      <c r="AW61">
        <v>1.1220000000000001</v>
      </c>
      <c r="AX61">
        <v>0.8347</v>
      </c>
      <c r="AY61">
        <v>1.0449999999999999</v>
      </c>
      <c r="AZ61">
        <v>1.1919999999999999</v>
      </c>
      <c r="BA61">
        <v>1.575</v>
      </c>
      <c r="BB61">
        <v>0.95</v>
      </c>
      <c r="BC61">
        <v>1.2729999999999999</v>
      </c>
      <c r="BD61">
        <v>1.29</v>
      </c>
      <c r="BE61">
        <v>1.3759999999999999</v>
      </c>
      <c r="BF61">
        <v>1.044</v>
      </c>
      <c r="BG61">
        <v>1.3320000000000001</v>
      </c>
      <c r="BH61">
        <v>1.016</v>
      </c>
      <c r="BI61">
        <v>1.133</v>
      </c>
      <c r="BJ61">
        <v>1.3879999999999999</v>
      </c>
      <c r="BK61">
        <v>1.667</v>
      </c>
      <c r="BL61">
        <v>1.371</v>
      </c>
      <c r="BM61">
        <v>1.367</v>
      </c>
      <c r="BN61">
        <v>1.3029999999999999</v>
      </c>
      <c r="BO61">
        <v>1.3839999999999999</v>
      </c>
      <c r="BP61">
        <v>1.4410000000000001</v>
      </c>
      <c r="BQ61">
        <v>1.448</v>
      </c>
      <c r="BR61">
        <v>1.4279999999999999</v>
      </c>
      <c r="BS61">
        <v>1.498</v>
      </c>
      <c r="BT61">
        <v>1.498</v>
      </c>
      <c r="BU61">
        <v>1.405</v>
      </c>
      <c r="BV61">
        <v>1.615</v>
      </c>
      <c r="BW61">
        <v>1.393</v>
      </c>
      <c r="BX61">
        <v>1.383</v>
      </c>
      <c r="BY61">
        <v>1.4390000000000001</v>
      </c>
      <c r="BZ61">
        <v>1.3720000000000001</v>
      </c>
      <c r="CA61">
        <v>1.3240000000000001</v>
      </c>
      <c r="CB61">
        <v>1.355</v>
      </c>
      <c r="CC61">
        <v>1.464</v>
      </c>
      <c r="CD61">
        <v>1.1890000000000001</v>
      </c>
      <c r="CE61">
        <v>1.2330000000000001</v>
      </c>
      <c r="CF61">
        <v>1.2270000000000001</v>
      </c>
      <c r="CG61">
        <v>1.2809999999999999</v>
      </c>
      <c r="CH61">
        <v>1.3779999999999999</v>
      </c>
      <c r="CI61">
        <v>1.47</v>
      </c>
      <c r="CJ61">
        <v>1.31</v>
      </c>
      <c r="CK61">
        <v>1.3340000000000001</v>
      </c>
      <c r="CL61">
        <v>1.4950000000000001</v>
      </c>
      <c r="CM61">
        <v>1.46</v>
      </c>
      <c r="CN61">
        <v>1.33</v>
      </c>
      <c r="CO61">
        <v>1.2090000000000001</v>
      </c>
      <c r="CP61">
        <v>0.98250000000000004</v>
      </c>
      <c r="CQ61">
        <v>1.425</v>
      </c>
      <c r="CR61">
        <v>1.2589999999999999</v>
      </c>
      <c r="CS61">
        <v>1.39</v>
      </c>
      <c r="CT61">
        <v>1.304</v>
      </c>
      <c r="CU61">
        <v>1.1830000000000001</v>
      </c>
      <c r="CV61">
        <v>1.343</v>
      </c>
      <c r="CW61">
        <v>1.3839999999999999</v>
      </c>
      <c r="CX61">
        <v>1.4490000000000001</v>
      </c>
      <c r="CY61">
        <v>1.415</v>
      </c>
      <c r="CZ61">
        <v>1.397</v>
      </c>
      <c r="DA61">
        <v>1.3560000000000001</v>
      </c>
      <c r="DB61">
        <v>1.3919999999999999</v>
      </c>
      <c r="DC61">
        <v>1.2430000000000001</v>
      </c>
      <c r="DD61">
        <v>1.538</v>
      </c>
      <c r="DE61">
        <v>1.05</v>
      </c>
      <c r="DF61">
        <v>0.79949999999999999</v>
      </c>
      <c r="DG61">
        <v>0.92800000000000005</v>
      </c>
      <c r="DH61">
        <v>0.90510000000000002</v>
      </c>
      <c r="DI61">
        <v>1.1080000000000001</v>
      </c>
      <c r="DJ61">
        <v>0.91210000000000002</v>
      </c>
      <c r="DK61">
        <v>0.91059999999999997</v>
      </c>
      <c r="DL61">
        <v>0.72009999999999996</v>
      </c>
      <c r="DM61">
        <v>0.86950000000000005</v>
      </c>
      <c r="DN61">
        <v>1.371</v>
      </c>
      <c r="DO61">
        <v>1.2709999999999999</v>
      </c>
      <c r="DP61">
        <v>1.0669999999999999</v>
      </c>
      <c r="DQ61">
        <v>1.127</v>
      </c>
    </row>
    <row r="62" spans="1:121" x14ac:dyDescent="0.35">
      <c r="A62" t="s">
        <v>88</v>
      </c>
      <c r="B62">
        <v>0.61890000000000001</v>
      </c>
      <c r="C62">
        <v>0.63500000000000001</v>
      </c>
      <c r="D62">
        <v>0.45079999999999998</v>
      </c>
      <c r="E62">
        <v>0.55559999999999998</v>
      </c>
      <c r="F62">
        <v>0.90449999999999997</v>
      </c>
      <c r="G62">
        <v>0.64549999999999996</v>
      </c>
      <c r="H62">
        <v>0.78110000000000002</v>
      </c>
      <c r="I62">
        <v>0.79469999999999996</v>
      </c>
      <c r="J62">
        <v>0.52700000000000002</v>
      </c>
      <c r="K62">
        <v>0.47460000000000002</v>
      </c>
      <c r="L62">
        <v>0.51029999999999998</v>
      </c>
      <c r="M62">
        <v>0.4975</v>
      </c>
      <c r="N62">
        <v>0.65469999999999995</v>
      </c>
      <c r="O62">
        <v>0.50509999999999999</v>
      </c>
      <c r="P62">
        <v>0.53</v>
      </c>
      <c r="Q62">
        <v>0.73299999999999998</v>
      </c>
      <c r="R62">
        <v>0.5625</v>
      </c>
      <c r="S62">
        <v>0.4975</v>
      </c>
      <c r="T62">
        <v>0.54549999999999998</v>
      </c>
      <c r="U62">
        <v>0.58930000000000005</v>
      </c>
      <c r="V62">
        <v>1</v>
      </c>
      <c r="W62">
        <v>0.77149999999999996</v>
      </c>
      <c r="X62">
        <v>0.78259999999999996</v>
      </c>
      <c r="Y62">
        <v>0.57350000000000001</v>
      </c>
      <c r="Z62">
        <v>0.69340000000000002</v>
      </c>
      <c r="AA62">
        <v>0.62990000000000002</v>
      </c>
      <c r="AB62">
        <v>0.68679999999999997</v>
      </c>
      <c r="AC62">
        <v>0.5423</v>
      </c>
      <c r="AD62">
        <v>0.78090000000000004</v>
      </c>
      <c r="AE62">
        <v>0.70709999999999995</v>
      </c>
      <c r="AF62">
        <v>1.698</v>
      </c>
      <c r="AG62">
        <v>0.52129999999999999</v>
      </c>
      <c r="AH62">
        <v>0.65649999999999997</v>
      </c>
      <c r="AI62">
        <v>0.59340000000000004</v>
      </c>
      <c r="AJ62">
        <v>0.57350000000000001</v>
      </c>
      <c r="AK62">
        <v>0.75380000000000003</v>
      </c>
      <c r="AL62">
        <v>0.75</v>
      </c>
      <c r="AM62">
        <v>0.49270000000000003</v>
      </c>
      <c r="AN62">
        <v>0.5</v>
      </c>
      <c r="AO62">
        <v>0.85709999999999997</v>
      </c>
      <c r="AP62">
        <v>0.37059999999999998</v>
      </c>
      <c r="AQ62">
        <v>0.33629999999999999</v>
      </c>
      <c r="AR62">
        <v>0.39779999999999999</v>
      </c>
      <c r="AS62">
        <v>0.36370000000000002</v>
      </c>
      <c r="AT62">
        <v>0.36180000000000001</v>
      </c>
      <c r="AU62">
        <v>0.36659999999999998</v>
      </c>
      <c r="AV62">
        <v>0.4042</v>
      </c>
      <c r="AW62">
        <v>0.37480000000000002</v>
      </c>
      <c r="AX62">
        <v>0.37369999999999998</v>
      </c>
      <c r="AY62">
        <v>0.47670000000000001</v>
      </c>
      <c r="AZ62">
        <v>1.2130000000000001</v>
      </c>
      <c r="BA62">
        <v>0.79469999999999996</v>
      </c>
      <c r="BB62">
        <v>0.37059999999999998</v>
      </c>
      <c r="BC62">
        <v>0.67420000000000002</v>
      </c>
      <c r="BD62">
        <v>0.56610000000000005</v>
      </c>
      <c r="BE62">
        <v>0.62019999999999997</v>
      </c>
      <c r="BF62">
        <v>0.50509999999999999</v>
      </c>
      <c r="BG62">
        <v>0.55000000000000004</v>
      </c>
      <c r="BH62">
        <v>0.42109999999999997</v>
      </c>
      <c r="BI62">
        <v>0.38919999999999999</v>
      </c>
      <c r="BJ62">
        <v>0.55220000000000002</v>
      </c>
      <c r="BK62">
        <v>0.68310000000000004</v>
      </c>
      <c r="BL62">
        <v>0.44540000000000002</v>
      </c>
      <c r="BM62">
        <v>0.54549999999999998</v>
      </c>
      <c r="BN62">
        <v>0.47889999999999999</v>
      </c>
      <c r="BO62">
        <v>0.45079999999999998</v>
      </c>
      <c r="BP62">
        <v>0.34339999999999998</v>
      </c>
      <c r="BQ62">
        <v>0.55900000000000005</v>
      </c>
      <c r="BR62">
        <v>0.4138</v>
      </c>
      <c r="BS62">
        <v>0.58830000000000005</v>
      </c>
      <c r="BT62">
        <v>0.58830000000000005</v>
      </c>
      <c r="BU62">
        <v>0.46829999999999999</v>
      </c>
      <c r="BV62">
        <v>0.66439999999999999</v>
      </c>
      <c r="BW62">
        <v>0.51029999999999998</v>
      </c>
      <c r="BX62">
        <v>0.5</v>
      </c>
      <c r="BY62">
        <v>0.50509999999999999</v>
      </c>
      <c r="BZ62">
        <v>0.48110000000000003</v>
      </c>
      <c r="CA62">
        <v>0.5423</v>
      </c>
      <c r="CB62">
        <v>0.47249999999999998</v>
      </c>
      <c r="CC62">
        <v>0.56200000000000006</v>
      </c>
      <c r="CD62">
        <v>0.45450000000000002</v>
      </c>
      <c r="CE62">
        <v>0.46229999999999999</v>
      </c>
      <c r="CF62">
        <v>0.37580000000000002</v>
      </c>
      <c r="CG62">
        <v>0.65559999999999996</v>
      </c>
      <c r="CH62">
        <v>0.45269999999999999</v>
      </c>
      <c r="CI62">
        <v>0.53669999999999995</v>
      </c>
      <c r="CJ62">
        <v>0.37690000000000001</v>
      </c>
      <c r="CK62">
        <v>0.42720000000000002</v>
      </c>
      <c r="CL62">
        <v>0.56440000000000001</v>
      </c>
      <c r="CM62">
        <v>1.0529999999999999</v>
      </c>
      <c r="CN62">
        <v>0.46629999999999999</v>
      </c>
      <c r="CO62">
        <v>0.44190000000000002</v>
      </c>
      <c r="CP62">
        <v>0.46829999999999999</v>
      </c>
      <c r="CQ62">
        <v>0.46229999999999999</v>
      </c>
      <c r="CR62">
        <v>0.61560000000000004</v>
      </c>
      <c r="CS62">
        <v>0.44019999999999998</v>
      </c>
      <c r="CT62">
        <v>0.35620000000000002</v>
      </c>
      <c r="CU62">
        <v>0.47889999999999999</v>
      </c>
      <c r="CV62">
        <v>0.40820000000000001</v>
      </c>
      <c r="CW62">
        <v>0.39410000000000001</v>
      </c>
      <c r="CX62">
        <v>0.65649999999999997</v>
      </c>
      <c r="CY62">
        <v>0.52129999999999999</v>
      </c>
      <c r="CZ62">
        <v>0.59760000000000002</v>
      </c>
      <c r="DA62">
        <v>0.62019999999999997</v>
      </c>
      <c r="DB62">
        <v>0.5625</v>
      </c>
      <c r="DC62">
        <v>1.0129999999999999</v>
      </c>
      <c r="DD62">
        <v>1.08</v>
      </c>
      <c r="DE62">
        <v>1.1819999999999999</v>
      </c>
      <c r="DF62">
        <v>0.63049999999999995</v>
      </c>
      <c r="DG62">
        <v>0.62360000000000004</v>
      </c>
      <c r="DH62">
        <v>0.4834</v>
      </c>
      <c r="DI62">
        <v>0.92059999999999997</v>
      </c>
      <c r="DJ62">
        <v>0.53029999999999999</v>
      </c>
      <c r="DK62">
        <v>0.48110000000000003</v>
      </c>
      <c r="DL62">
        <v>0.58830000000000005</v>
      </c>
      <c r="DM62">
        <v>0.35899999999999999</v>
      </c>
      <c r="DN62">
        <v>1.605</v>
      </c>
      <c r="DO62">
        <v>0.52700000000000002</v>
      </c>
      <c r="DP62">
        <v>1.008</v>
      </c>
      <c r="DQ62">
        <v>0.5625</v>
      </c>
    </row>
    <row r="63" spans="1:121" x14ac:dyDescent="0.35">
      <c r="A63" t="s">
        <v>89</v>
      </c>
      <c r="B63">
        <v>1.101</v>
      </c>
      <c r="C63">
        <v>0.96919999999999995</v>
      </c>
      <c r="D63">
        <v>0.83120000000000005</v>
      </c>
      <c r="E63">
        <v>0.91020000000000001</v>
      </c>
      <c r="F63">
        <v>1.321</v>
      </c>
      <c r="G63">
        <v>0.97699999999999998</v>
      </c>
      <c r="H63">
        <v>1.226</v>
      </c>
      <c r="I63">
        <v>1.2370000000000001</v>
      </c>
      <c r="J63">
        <v>0.88890000000000002</v>
      </c>
      <c r="K63">
        <v>0.84930000000000005</v>
      </c>
      <c r="L63">
        <v>0.87639999999999996</v>
      </c>
      <c r="M63">
        <v>0.86670000000000003</v>
      </c>
      <c r="N63">
        <v>1.1279999999999999</v>
      </c>
      <c r="O63">
        <v>0.87239999999999995</v>
      </c>
      <c r="P63">
        <v>0.8911</v>
      </c>
      <c r="Q63">
        <v>1.1890000000000001</v>
      </c>
      <c r="R63">
        <v>0.91539999999999999</v>
      </c>
      <c r="S63">
        <v>0.86670000000000003</v>
      </c>
      <c r="T63">
        <v>0.90280000000000005</v>
      </c>
      <c r="U63">
        <v>0.93530000000000002</v>
      </c>
      <c r="V63">
        <v>1.6830000000000001</v>
      </c>
      <c r="W63">
        <v>1.07</v>
      </c>
      <c r="X63">
        <v>1.369</v>
      </c>
      <c r="Y63">
        <v>0.92359999999999998</v>
      </c>
      <c r="Z63">
        <v>1.012</v>
      </c>
      <c r="AA63">
        <v>0.96550000000000002</v>
      </c>
      <c r="AB63">
        <v>1.0069999999999999</v>
      </c>
      <c r="AC63">
        <v>0.90039999999999998</v>
      </c>
      <c r="AD63">
        <v>1.077</v>
      </c>
      <c r="AE63">
        <v>1.3089999999999999</v>
      </c>
      <c r="AF63">
        <v>2.1179999999999999</v>
      </c>
      <c r="AG63">
        <v>0.88460000000000005</v>
      </c>
      <c r="AH63">
        <v>0.98509999999999998</v>
      </c>
      <c r="AI63">
        <v>0.93840000000000001</v>
      </c>
      <c r="AJ63">
        <v>0.92359999999999998</v>
      </c>
      <c r="AK63">
        <v>1.0569999999999999</v>
      </c>
      <c r="AL63">
        <v>1.202</v>
      </c>
      <c r="AM63">
        <v>0.86299999999999999</v>
      </c>
      <c r="AN63">
        <v>0.86860000000000004</v>
      </c>
      <c r="AO63">
        <v>1.2849999999999999</v>
      </c>
      <c r="AP63">
        <v>0.76859999999999995</v>
      </c>
      <c r="AQ63">
        <v>0.74099999999999999</v>
      </c>
      <c r="AR63">
        <v>0.79010000000000002</v>
      </c>
      <c r="AS63">
        <v>0.7631</v>
      </c>
      <c r="AT63">
        <v>0.76160000000000005</v>
      </c>
      <c r="AU63">
        <v>0.76539999999999997</v>
      </c>
      <c r="AV63">
        <v>0.79520000000000002</v>
      </c>
      <c r="AW63">
        <v>0.77190000000000003</v>
      </c>
      <c r="AX63">
        <v>0.77110000000000001</v>
      </c>
      <c r="AY63">
        <v>0.85099999999999998</v>
      </c>
      <c r="AZ63">
        <v>2.133</v>
      </c>
      <c r="BA63">
        <v>1.2370000000000001</v>
      </c>
      <c r="BB63">
        <v>0.76859999999999995</v>
      </c>
      <c r="BC63">
        <v>0.99819999999999998</v>
      </c>
      <c r="BD63">
        <v>0.91810000000000003</v>
      </c>
      <c r="BE63">
        <v>0.95820000000000005</v>
      </c>
      <c r="BF63">
        <v>0.87239999999999995</v>
      </c>
      <c r="BG63">
        <v>1.046</v>
      </c>
      <c r="BH63">
        <v>0.80830000000000002</v>
      </c>
      <c r="BI63">
        <v>0.78339999999999999</v>
      </c>
      <c r="BJ63">
        <v>0.90769999999999995</v>
      </c>
      <c r="BK63">
        <v>1.2889999999999999</v>
      </c>
      <c r="BL63">
        <v>0.82709999999999995</v>
      </c>
      <c r="BM63">
        <v>1.0429999999999999</v>
      </c>
      <c r="BN63">
        <v>0.85260000000000002</v>
      </c>
      <c r="BO63">
        <v>0.83120000000000005</v>
      </c>
      <c r="BP63">
        <v>0.74670000000000003</v>
      </c>
      <c r="BQ63">
        <v>0.91279999999999994</v>
      </c>
      <c r="BR63">
        <v>0.80259999999999998</v>
      </c>
      <c r="BS63">
        <v>1.077</v>
      </c>
      <c r="BT63">
        <v>1.077</v>
      </c>
      <c r="BU63">
        <v>0.84460000000000002</v>
      </c>
      <c r="BV63">
        <v>1.274</v>
      </c>
      <c r="BW63">
        <v>0.87639999999999996</v>
      </c>
      <c r="BX63">
        <v>0.86860000000000004</v>
      </c>
      <c r="BY63">
        <v>0.87239999999999995</v>
      </c>
      <c r="BZ63">
        <v>0.85429999999999995</v>
      </c>
      <c r="CA63">
        <v>0.90039999999999998</v>
      </c>
      <c r="CB63">
        <v>0.84770000000000001</v>
      </c>
      <c r="CC63">
        <v>1.056</v>
      </c>
      <c r="CD63">
        <v>0.83409999999999995</v>
      </c>
      <c r="CE63">
        <v>0.84</v>
      </c>
      <c r="CF63">
        <v>0.77280000000000004</v>
      </c>
      <c r="CG63">
        <v>1.2669999999999999</v>
      </c>
      <c r="CH63">
        <v>0.83260000000000001</v>
      </c>
      <c r="CI63">
        <v>1.036</v>
      </c>
      <c r="CJ63">
        <v>0.77359999999999995</v>
      </c>
      <c r="CK63">
        <v>0.81299999999999994</v>
      </c>
      <c r="CL63">
        <v>1.0580000000000001</v>
      </c>
      <c r="CM63">
        <v>1.865</v>
      </c>
      <c r="CN63">
        <v>0.84299999999999997</v>
      </c>
      <c r="CO63">
        <v>0.82440000000000002</v>
      </c>
      <c r="CP63">
        <v>0.84460000000000002</v>
      </c>
      <c r="CQ63">
        <v>0.84</v>
      </c>
      <c r="CR63">
        <v>1.0980000000000001</v>
      </c>
      <c r="CS63">
        <v>0.82310000000000005</v>
      </c>
      <c r="CT63">
        <v>0.7571</v>
      </c>
      <c r="CU63">
        <v>0.9889</v>
      </c>
      <c r="CV63">
        <v>0.79830000000000001</v>
      </c>
      <c r="CW63">
        <v>0.78720000000000001</v>
      </c>
      <c r="CX63">
        <v>0.98509999999999998</v>
      </c>
      <c r="CY63">
        <v>0.88460000000000005</v>
      </c>
      <c r="CZ63">
        <v>0.9415</v>
      </c>
      <c r="DA63">
        <v>0.95820000000000005</v>
      </c>
      <c r="DB63">
        <v>0.91539999999999999</v>
      </c>
      <c r="DC63">
        <v>1.831</v>
      </c>
      <c r="DD63">
        <v>1.605</v>
      </c>
      <c r="DE63">
        <v>2.3730000000000002</v>
      </c>
      <c r="DF63">
        <v>1.3779999999999999</v>
      </c>
      <c r="DG63">
        <v>1.2410000000000001</v>
      </c>
      <c r="DH63">
        <v>0.85599999999999998</v>
      </c>
      <c r="DI63">
        <v>1.887</v>
      </c>
      <c r="DJ63">
        <v>1.03</v>
      </c>
      <c r="DK63">
        <v>0.85429999999999995</v>
      </c>
      <c r="DL63">
        <v>0.6139</v>
      </c>
      <c r="DM63">
        <v>0.75929999999999997</v>
      </c>
      <c r="DN63">
        <v>2.597</v>
      </c>
      <c r="DO63">
        <v>0.88890000000000002</v>
      </c>
      <c r="DP63">
        <v>1.69</v>
      </c>
      <c r="DQ63">
        <v>0.91539999999999999</v>
      </c>
    </row>
    <row r="64" spans="1:121" x14ac:dyDescent="0.35">
      <c r="A64" t="s">
        <v>90</v>
      </c>
      <c r="B64">
        <v>0.98850000000000005</v>
      </c>
      <c r="C64">
        <v>0.89880000000000004</v>
      </c>
      <c r="D64">
        <v>0.96360000000000001</v>
      </c>
      <c r="E64">
        <v>0.97760000000000002</v>
      </c>
      <c r="F64">
        <v>0.91810000000000003</v>
      </c>
      <c r="G64">
        <v>0.98640000000000005</v>
      </c>
      <c r="H64">
        <v>0.89600000000000002</v>
      </c>
      <c r="I64">
        <v>0.9113</v>
      </c>
      <c r="J64">
        <v>0.90849999999999997</v>
      </c>
      <c r="K64">
        <v>0.89070000000000005</v>
      </c>
      <c r="L64">
        <v>0.8669</v>
      </c>
      <c r="M64">
        <v>0.91659999999999997</v>
      </c>
      <c r="N64">
        <v>0.91800000000000004</v>
      </c>
      <c r="O64">
        <v>0.93340000000000001</v>
      </c>
      <c r="P64">
        <v>0.90980000000000005</v>
      </c>
      <c r="Q64">
        <v>0.81659999999999999</v>
      </c>
      <c r="R64">
        <v>0.93820000000000003</v>
      </c>
      <c r="S64">
        <v>0.81679999999999997</v>
      </c>
      <c r="T64">
        <v>0.86729999999999996</v>
      </c>
      <c r="U64">
        <v>0.93220000000000003</v>
      </c>
      <c r="V64">
        <v>0.91749999999999998</v>
      </c>
      <c r="W64">
        <v>0.90939999999999999</v>
      </c>
      <c r="X64">
        <v>0.98350000000000004</v>
      </c>
      <c r="Y64">
        <v>0.96799999999999997</v>
      </c>
      <c r="Z64">
        <v>0.95230000000000004</v>
      </c>
      <c r="AA64">
        <v>0.98819999999999997</v>
      </c>
      <c r="AB64">
        <v>0.98709999999999998</v>
      </c>
      <c r="AC64">
        <v>0.98109999999999997</v>
      </c>
      <c r="AD64">
        <v>0.75219999999999998</v>
      </c>
      <c r="AE64">
        <v>0.81669999999999998</v>
      </c>
      <c r="AF64">
        <v>0.65859999999999996</v>
      </c>
      <c r="AG64">
        <v>0.69040000000000001</v>
      </c>
      <c r="AH64">
        <v>0.80520000000000003</v>
      </c>
      <c r="AI64">
        <v>0.84109999999999996</v>
      </c>
      <c r="AJ64">
        <v>0.8962</v>
      </c>
      <c r="AK64">
        <v>0.84560000000000002</v>
      </c>
      <c r="AL64">
        <v>0.89</v>
      </c>
      <c r="AM64">
        <v>0.95250000000000001</v>
      </c>
      <c r="AN64">
        <v>0.96389999999999998</v>
      </c>
      <c r="AO64">
        <v>0.82369999999999999</v>
      </c>
      <c r="AP64">
        <v>0.63649999999999995</v>
      </c>
      <c r="AQ64">
        <v>0.76270000000000004</v>
      </c>
      <c r="AR64">
        <v>0.69610000000000005</v>
      </c>
      <c r="AS64">
        <v>0.71250000000000002</v>
      </c>
      <c r="AT64">
        <v>0.76949999999999996</v>
      </c>
      <c r="AU64">
        <v>0.6431</v>
      </c>
      <c r="AV64">
        <v>0.68610000000000004</v>
      </c>
      <c r="AW64">
        <v>0.72819999999999996</v>
      </c>
      <c r="AX64">
        <v>0.5474</v>
      </c>
      <c r="AY64">
        <v>0.69410000000000005</v>
      </c>
      <c r="AZ64">
        <v>0.58819999999999995</v>
      </c>
      <c r="BA64">
        <v>0.96919999999999995</v>
      </c>
      <c r="BB64">
        <v>0.61970000000000003</v>
      </c>
      <c r="BC64">
        <v>0.87250000000000005</v>
      </c>
      <c r="BD64">
        <v>0.86399999999999999</v>
      </c>
      <c r="BE64">
        <v>0.9294</v>
      </c>
      <c r="BF64">
        <v>0.69810000000000005</v>
      </c>
      <c r="BG64">
        <v>0.79069999999999996</v>
      </c>
      <c r="BH64">
        <v>0.66749999999999998</v>
      </c>
      <c r="BI64">
        <v>0.7369</v>
      </c>
      <c r="BJ64">
        <v>0.92430000000000001</v>
      </c>
      <c r="BK64">
        <v>0.9163</v>
      </c>
      <c r="BL64">
        <v>0.89590000000000003</v>
      </c>
      <c r="BM64">
        <v>0.81030000000000002</v>
      </c>
      <c r="BN64">
        <v>0.85850000000000004</v>
      </c>
      <c r="BO64">
        <v>0.90480000000000005</v>
      </c>
      <c r="BP64">
        <v>0.92469999999999997</v>
      </c>
      <c r="BQ64">
        <v>0.96399999999999997</v>
      </c>
      <c r="BR64">
        <v>0.92659999999999998</v>
      </c>
      <c r="BS64">
        <v>0.89149999999999996</v>
      </c>
      <c r="BT64">
        <v>0.89149999999999996</v>
      </c>
      <c r="BU64">
        <v>0.92110000000000003</v>
      </c>
      <c r="BV64">
        <v>0.88660000000000005</v>
      </c>
      <c r="BW64">
        <v>0.92059999999999997</v>
      </c>
      <c r="BX64">
        <v>0.91249999999999998</v>
      </c>
      <c r="BY64">
        <v>0.94899999999999995</v>
      </c>
      <c r="BZ64">
        <v>0.9022</v>
      </c>
      <c r="CA64">
        <v>0.88160000000000005</v>
      </c>
      <c r="CB64">
        <v>0.8901</v>
      </c>
      <c r="CC64">
        <v>0.86819999999999997</v>
      </c>
      <c r="CD64">
        <v>0.78110000000000002</v>
      </c>
      <c r="CE64">
        <v>0.81030000000000002</v>
      </c>
      <c r="CF64">
        <v>0.79379999999999995</v>
      </c>
      <c r="CG64">
        <v>0.70630000000000004</v>
      </c>
      <c r="CH64">
        <v>0.90090000000000003</v>
      </c>
      <c r="CI64">
        <v>0.86770000000000003</v>
      </c>
      <c r="CJ64">
        <v>0.84689999999999999</v>
      </c>
      <c r="CK64">
        <v>0.86909999999999998</v>
      </c>
      <c r="CL64">
        <v>0.88619999999999999</v>
      </c>
      <c r="CM64">
        <v>0.73970000000000002</v>
      </c>
      <c r="CN64">
        <v>0.873</v>
      </c>
      <c r="CO64">
        <v>0.79269999999999996</v>
      </c>
      <c r="CP64">
        <v>0.65329999999999999</v>
      </c>
      <c r="CQ64">
        <v>0.93240000000000001</v>
      </c>
      <c r="CR64">
        <v>0.75729999999999997</v>
      </c>
      <c r="CS64">
        <v>0.90700000000000003</v>
      </c>
      <c r="CT64">
        <v>0.84009999999999996</v>
      </c>
      <c r="CU64">
        <v>0.69640000000000002</v>
      </c>
      <c r="CV64">
        <v>0.87209999999999999</v>
      </c>
      <c r="CW64">
        <v>0.89639999999999997</v>
      </c>
      <c r="CX64">
        <v>0.98329999999999995</v>
      </c>
      <c r="CY64">
        <v>0.93610000000000004</v>
      </c>
      <c r="CZ64">
        <v>0.93859999999999999</v>
      </c>
      <c r="DA64">
        <v>0.91669999999999996</v>
      </c>
      <c r="DB64">
        <v>0.92920000000000003</v>
      </c>
      <c r="DC64">
        <v>0.63219999999999998</v>
      </c>
      <c r="DD64">
        <v>0.90610000000000002</v>
      </c>
      <c r="DE64">
        <v>0.47299999999999998</v>
      </c>
      <c r="DF64">
        <v>0.41170000000000001</v>
      </c>
      <c r="DG64">
        <v>0.51190000000000002</v>
      </c>
      <c r="DH64">
        <v>0.60319999999999996</v>
      </c>
      <c r="DI64">
        <v>0.52470000000000006</v>
      </c>
      <c r="DJ64">
        <v>0.54379999999999995</v>
      </c>
      <c r="DK64">
        <v>0.60619999999999996</v>
      </c>
      <c r="DL64">
        <v>0.75439999999999996</v>
      </c>
      <c r="DM64">
        <v>0.56589999999999996</v>
      </c>
      <c r="DN64">
        <v>0.67510000000000003</v>
      </c>
      <c r="DO64">
        <v>0.84419999999999995</v>
      </c>
      <c r="DP64">
        <v>0.58309999999999995</v>
      </c>
      <c r="DQ64">
        <v>0.75839999999999996</v>
      </c>
    </row>
    <row r="65" spans="1:121" x14ac:dyDescent="0.35">
      <c r="A65" t="s">
        <v>91</v>
      </c>
      <c r="B65">
        <v>1.4279999999999999</v>
      </c>
      <c r="C65">
        <v>1.282</v>
      </c>
      <c r="D65">
        <v>1.0469999999999999</v>
      </c>
      <c r="E65">
        <v>1.1779999999999999</v>
      </c>
      <c r="F65">
        <v>1.877</v>
      </c>
      <c r="G65">
        <v>1.2969999999999999</v>
      </c>
      <c r="H65">
        <v>1.67</v>
      </c>
      <c r="I65">
        <v>1.6919999999999999</v>
      </c>
      <c r="J65">
        <v>1.1419999999999999</v>
      </c>
      <c r="K65">
        <v>1.0760000000000001</v>
      </c>
      <c r="L65">
        <v>1.121</v>
      </c>
      <c r="M65">
        <v>1.105</v>
      </c>
      <c r="N65">
        <v>1.4790000000000001</v>
      </c>
      <c r="O65">
        <v>1.1140000000000001</v>
      </c>
      <c r="P65">
        <v>1.145</v>
      </c>
      <c r="Q65">
        <v>1.595</v>
      </c>
      <c r="R65">
        <v>1.1870000000000001</v>
      </c>
      <c r="S65">
        <v>1.105</v>
      </c>
      <c r="T65">
        <v>1.165</v>
      </c>
      <c r="U65">
        <v>1.2210000000000001</v>
      </c>
      <c r="V65">
        <v>2.4129999999999998</v>
      </c>
      <c r="W65">
        <v>1.4790000000000001</v>
      </c>
      <c r="X65">
        <v>1.8460000000000001</v>
      </c>
      <c r="Y65">
        <v>1.2010000000000001</v>
      </c>
      <c r="Z65">
        <v>1.363</v>
      </c>
      <c r="AA65">
        <v>1.276</v>
      </c>
      <c r="AB65">
        <v>1.3540000000000001</v>
      </c>
      <c r="AC65">
        <v>1.161</v>
      </c>
      <c r="AD65">
        <v>1.4930000000000001</v>
      </c>
      <c r="AE65">
        <v>1.7250000000000001</v>
      </c>
      <c r="AF65">
        <v>4.4509999999999996</v>
      </c>
      <c r="AG65">
        <v>1.1339999999999999</v>
      </c>
      <c r="AH65">
        <v>1.3120000000000001</v>
      </c>
      <c r="AI65">
        <v>1.2270000000000001</v>
      </c>
      <c r="AJ65">
        <v>1.2010000000000001</v>
      </c>
      <c r="AK65">
        <v>1.452</v>
      </c>
      <c r="AL65">
        <v>1.621</v>
      </c>
      <c r="AM65">
        <v>1.099</v>
      </c>
      <c r="AN65">
        <v>1.1080000000000001</v>
      </c>
      <c r="AO65">
        <v>1.7949999999999999</v>
      </c>
      <c r="AP65">
        <v>0.9506</v>
      </c>
      <c r="AQ65">
        <v>0.90959999999999996</v>
      </c>
      <c r="AR65">
        <v>0.98309999999999997</v>
      </c>
      <c r="AS65">
        <v>0.94230000000000003</v>
      </c>
      <c r="AT65">
        <v>0.94</v>
      </c>
      <c r="AU65">
        <v>0.94579999999999997</v>
      </c>
      <c r="AV65">
        <v>0.99080000000000001</v>
      </c>
      <c r="AW65">
        <v>0.95550000000000002</v>
      </c>
      <c r="AX65">
        <v>0.95430000000000004</v>
      </c>
      <c r="AY65">
        <v>1.079</v>
      </c>
      <c r="AZ65">
        <v>3.234</v>
      </c>
      <c r="BA65">
        <v>1.6919999999999999</v>
      </c>
      <c r="BB65">
        <v>0.9506</v>
      </c>
      <c r="BC65">
        <v>1.3360000000000001</v>
      </c>
      <c r="BD65">
        <v>1.1910000000000001</v>
      </c>
      <c r="BE65">
        <v>1.262</v>
      </c>
      <c r="BF65">
        <v>1.1140000000000001</v>
      </c>
      <c r="BG65">
        <v>1.3320000000000001</v>
      </c>
      <c r="BH65">
        <v>1.0109999999999999</v>
      </c>
      <c r="BI65">
        <v>0.97289999999999999</v>
      </c>
      <c r="BJ65">
        <v>1.173</v>
      </c>
      <c r="BK65">
        <v>1.6879999999999999</v>
      </c>
      <c r="BL65">
        <v>1.0409999999999999</v>
      </c>
      <c r="BM65">
        <v>1.3260000000000001</v>
      </c>
      <c r="BN65">
        <v>1.0820000000000001</v>
      </c>
      <c r="BO65">
        <v>1.0469999999999999</v>
      </c>
      <c r="BP65">
        <v>0.91800000000000004</v>
      </c>
      <c r="BQ65">
        <v>1.1819999999999999</v>
      </c>
      <c r="BR65">
        <v>1.002</v>
      </c>
      <c r="BS65">
        <v>1.385</v>
      </c>
      <c r="BT65">
        <v>1.385</v>
      </c>
      <c r="BU65">
        <v>1.069</v>
      </c>
      <c r="BV65">
        <v>1.66</v>
      </c>
      <c r="BW65">
        <v>1.121</v>
      </c>
      <c r="BX65">
        <v>1.1080000000000001</v>
      </c>
      <c r="BY65">
        <v>1.1140000000000001</v>
      </c>
      <c r="BZ65">
        <v>1.0840000000000001</v>
      </c>
      <c r="CA65">
        <v>1.161</v>
      </c>
      <c r="CB65">
        <v>1.0740000000000001</v>
      </c>
      <c r="CC65">
        <v>1.349</v>
      </c>
      <c r="CD65">
        <v>1.052</v>
      </c>
      <c r="CE65">
        <v>1.0609999999999999</v>
      </c>
      <c r="CF65">
        <v>0.95679999999999998</v>
      </c>
      <c r="CG65">
        <v>1.6459999999999999</v>
      </c>
      <c r="CH65">
        <v>1.0489999999999999</v>
      </c>
      <c r="CI65">
        <v>1.3140000000000001</v>
      </c>
      <c r="CJ65">
        <v>0.95809999999999995</v>
      </c>
      <c r="CK65">
        <v>1.0189999999999999</v>
      </c>
      <c r="CL65">
        <v>1.3520000000000001</v>
      </c>
      <c r="CM65">
        <v>2.7</v>
      </c>
      <c r="CN65">
        <v>1.0660000000000001</v>
      </c>
      <c r="CO65">
        <v>1.036</v>
      </c>
      <c r="CP65">
        <v>1.069</v>
      </c>
      <c r="CQ65">
        <v>1.0609999999999999</v>
      </c>
      <c r="CR65">
        <v>1.423</v>
      </c>
      <c r="CS65">
        <v>1.034</v>
      </c>
      <c r="CT65">
        <v>0.93340000000000001</v>
      </c>
      <c r="CU65">
        <v>1.2370000000000001</v>
      </c>
      <c r="CV65">
        <v>0.99570000000000003</v>
      </c>
      <c r="CW65">
        <v>0.97860000000000003</v>
      </c>
      <c r="CX65">
        <v>1.3120000000000001</v>
      </c>
      <c r="CY65">
        <v>1.1339999999999999</v>
      </c>
      <c r="CZ65">
        <v>1.232</v>
      </c>
      <c r="DA65">
        <v>1.262</v>
      </c>
      <c r="DB65">
        <v>1.1870000000000001</v>
      </c>
      <c r="DC65">
        <v>2.6160000000000001</v>
      </c>
      <c r="DD65">
        <v>2.399</v>
      </c>
      <c r="DE65">
        <v>3.5190000000000001</v>
      </c>
      <c r="DF65">
        <v>1.7689999999999999</v>
      </c>
      <c r="DG65">
        <v>1.5980000000000001</v>
      </c>
      <c r="DH65">
        <v>1.087</v>
      </c>
      <c r="DI65">
        <v>2.6080000000000001</v>
      </c>
      <c r="DJ65">
        <v>1.306</v>
      </c>
      <c r="DK65">
        <v>1.0840000000000001</v>
      </c>
      <c r="DL65">
        <v>0.87629999999999997</v>
      </c>
      <c r="DM65">
        <v>0.93659999999999999</v>
      </c>
      <c r="DN65">
        <v>4.5199999999999996</v>
      </c>
      <c r="DO65">
        <v>1.1419999999999999</v>
      </c>
      <c r="DP65">
        <v>2.4289999999999998</v>
      </c>
      <c r="DQ65">
        <v>1.1870000000000001</v>
      </c>
    </row>
    <row r="66" spans="1:121" x14ac:dyDescent="0.35">
      <c r="A66" t="s">
        <v>92</v>
      </c>
      <c r="B66">
        <v>0.22339999999999999</v>
      </c>
      <c r="C66">
        <v>0.371</v>
      </c>
      <c r="D66">
        <v>0.32519999999999999</v>
      </c>
      <c r="E66">
        <v>0.28399999999999997</v>
      </c>
      <c r="F66">
        <v>0.29549999999999998</v>
      </c>
      <c r="G66">
        <v>0.2833</v>
      </c>
      <c r="H66">
        <v>0.42370000000000002</v>
      </c>
      <c r="I66">
        <v>0.38600000000000001</v>
      </c>
      <c r="J66">
        <v>0.42220000000000002</v>
      </c>
      <c r="K66">
        <v>0.3604</v>
      </c>
      <c r="L66">
        <v>0.44790000000000002</v>
      </c>
      <c r="M66">
        <v>0.31680000000000003</v>
      </c>
      <c r="N66">
        <v>0.28570000000000001</v>
      </c>
      <c r="O66">
        <v>0.31630000000000003</v>
      </c>
      <c r="P66">
        <v>0.39329999999999998</v>
      </c>
      <c r="Q66">
        <v>0.49249999999999999</v>
      </c>
      <c r="R66">
        <v>0.37969999999999998</v>
      </c>
      <c r="S66">
        <v>0.53469999999999995</v>
      </c>
      <c r="T66">
        <v>0.41670000000000001</v>
      </c>
      <c r="U66">
        <v>0.40279999999999999</v>
      </c>
      <c r="V66">
        <v>0.25</v>
      </c>
      <c r="W66">
        <v>0.42859999999999998</v>
      </c>
      <c r="X66">
        <v>0.23749999999999999</v>
      </c>
      <c r="Y66">
        <v>0.32890000000000003</v>
      </c>
      <c r="Z66">
        <v>0.28849999999999998</v>
      </c>
      <c r="AA66">
        <v>0.22220000000000001</v>
      </c>
      <c r="AB66">
        <v>0.28299999999999997</v>
      </c>
      <c r="AC66">
        <v>0.24709999999999999</v>
      </c>
      <c r="AD66">
        <v>0.58540000000000003</v>
      </c>
      <c r="AE66">
        <v>0.4592</v>
      </c>
      <c r="AF66">
        <v>0.64710000000000001</v>
      </c>
      <c r="AG66">
        <v>0.6522</v>
      </c>
      <c r="AH66">
        <v>0.51719999999999999</v>
      </c>
      <c r="AI66">
        <v>0.50700000000000001</v>
      </c>
      <c r="AJ66">
        <v>0.43419999999999997</v>
      </c>
      <c r="AK66">
        <v>0.45450000000000002</v>
      </c>
      <c r="AL66">
        <v>0.375</v>
      </c>
      <c r="AM66">
        <v>0.3301</v>
      </c>
      <c r="AN66">
        <v>0.28999999999999998</v>
      </c>
      <c r="AO66">
        <v>0.38779999999999998</v>
      </c>
      <c r="AP66">
        <v>0.67579999999999996</v>
      </c>
      <c r="AQ66">
        <v>0.53390000000000004</v>
      </c>
      <c r="AR66">
        <v>0.62660000000000005</v>
      </c>
      <c r="AS66">
        <v>0.60850000000000004</v>
      </c>
      <c r="AT66">
        <v>0.57069999999999999</v>
      </c>
      <c r="AU66">
        <v>0.67200000000000004</v>
      </c>
      <c r="AV66">
        <v>0.66010000000000002</v>
      </c>
      <c r="AW66">
        <v>0.55620000000000003</v>
      </c>
      <c r="AX66">
        <v>0.75980000000000003</v>
      </c>
      <c r="AY66">
        <v>0.64549999999999996</v>
      </c>
      <c r="AZ66">
        <v>0.5</v>
      </c>
      <c r="BA66">
        <v>0.26319999999999999</v>
      </c>
      <c r="BB66">
        <v>0.70879999999999999</v>
      </c>
      <c r="BC66">
        <v>0.47270000000000001</v>
      </c>
      <c r="BD66">
        <v>0.46150000000000002</v>
      </c>
      <c r="BE66">
        <v>0.4</v>
      </c>
      <c r="BF66">
        <v>0.65310000000000001</v>
      </c>
      <c r="BG66">
        <v>0.51259999999999994</v>
      </c>
      <c r="BH66">
        <v>0.66669999999999996</v>
      </c>
      <c r="BI66">
        <v>0.58789999999999998</v>
      </c>
      <c r="BJ66">
        <v>0.378</v>
      </c>
      <c r="BK66">
        <v>0.32379999999999998</v>
      </c>
      <c r="BL66">
        <v>0.44440000000000002</v>
      </c>
      <c r="BM66">
        <v>0.49590000000000001</v>
      </c>
      <c r="BN66">
        <v>0.49540000000000001</v>
      </c>
      <c r="BO66">
        <v>0.31709999999999999</v>
      </c>
      <c r="BP66">
        <v>0.40570000000000001</v>
      </c>
      <c r="BQ66">
        <v>0.3125</v>
      </c>
      <c r="BR66">
        <v>0.33560000000000001</v>
      </c>
      <c r="BS66">
        <v>0.35580000000000001</v>
      </c>
      <c r="BT66">
        <v>0.35580000000000001</v>
      </c>
      <c r="BU66">
        <v>0.36840000000000001</v>
      </c>
      <c r="BV66">
        <v>0.39639999999999997</v>
      </c>
      <c r="BW66">
        <v>0.38540000000000002</v>
      </c>
      <c r="BX66">
        <v>0.42</v>
      </c>
      <c r="BY66">
        <v>0.3367</v>
      </c>
      <c r="BZ66">
        <v>0.35189999999999999</v>
      </c>
      <c r="CA66">
        <v>0.38819999999999999</v>
      </c>
      <c r="CB66">
        <v>0.4375</v>
      </c>
      <c r="CC66">
        <v>0.45610000000000001</v>
      </c>
      <c r="CD66">
        <v>0.47110000000000002</v>
      </c>
      <c r="CE66">
        <v>0.46150000000000002</v>
      </c>
      <c r="CF66">
        <v>0.50849999999999995</v>
      </c>
      <c r="CG66">
        <v>0.45610000000000001</v>
      </c>
      <c r="CH66">
        <v>0.39340000000000003</v>
      </c>
      <c r="CI66">
        <v>0.41599999999999998</v>
      </c>
      <c r="CJ66">
        <v>0.3977</v>
      </c>
      <c r="CK66">
        <v>0.37230000000000002</v>
      </c>
      <c r="CL66">
        <v>0.38940000000000002</v>
      </c>
      <c r="CM66">
        <v>0.3836</v>
      </c>
      <c r="CN66">
        <v>0.44350000000000001</v>
      </c>
      <c r="CO66">
        <v>0.53910000000000002</v>
      </c>
      <c r="CP66">
        <v>0.68420000000000003</v>
      </c>
      <c r="CQ66">
        <v>0.35039999999999999</v>
      </c>
      <c r="CR66">
        <v>0.52629999999999999</v>
      </c>
      <c r="CS66">
        <v>0.35659999999999997</v>
      </c>
      <c r="CT66">
        <v>0.4365</v>
      </c>
      <c r="CU66">
        <v>0.5796</v>
      </c>
      <c r="CV66">
        <v>0.39329999999999998</v>
      </c>
      <c r="CW66">
        <v>0.39129999999999998</v>
      </c>
      <c r="CX66">
        <v>0.29310000000000003</v>
      </c>
      <c r="CY66">
        <v>0.3478</v>
      </c>
      <c r="CZ66">
        <v>0.37140000000000001</v>
      </c>
      <c r="DA66">
        <v>0.41539999999999999</v>
      </c>
      <c r="DB66">
        <v>0.39240000000000003</v>
      </c>
      <c r="DC66">
        <v>0.50629999999999997</v>
      </c>
      <c r="DD66">
        <v>0.35709999999999997</v>
      </c>
      <c r="DE66">
        <v>0.60189999999999999</v>
      </c>
      <c r="DF66">
        <v>0.67079999999999995</v>
      </c>
      <c r="DG66">
        <v>0.57140000000000002</v>
      </c>
      <c r="DH66">
        <v>0.64490000000000003</v>
      </c>
      <c r="DI66">
        <v>0.56779999999999997</v>
      </c>
      <c r="DJ66">
        <v>0.5625</v>
      </c>
      <c r="DK66">
        <v>0.62039999999999995</v>
      </c>
      <c r="DL66">
        <v>0.5</v>
      </c>
      <c r="DM66">
        <v>0.69069999999999998</v>
      </c>
      <c r="DN66">
        <v>0.38300000000000001</v>
      </c>
      <c r="DO66">
        <v>0.36670000000000003</v>
      </c>
      <c r="DP66">
        <v>0.63490000000000002</v>
      </c>
      <c r="DQ66">
        <v>0.55700000000000005</v>
      </c>
    </row>
    <row r="67" spans="1:121" x14ac:dyDescent="0.35">
      <c r="A67" t="s">
        <v>93</v>
      </c>
      <c r="B67">
        <v>6</v>
      </c>
      <c r="C67">
        <v>5</v>
      </c>
      <c r="D67">
        <v>5</v>
      </c>
      <c r="E67">
        <v>5</v>
      </c>
      <c r="F67">
        <v>6</v>
      </c>
      <c r="G67">
        <v>5</v>
      </c>
      <c r="H67">
        <v>6</v>
      </c>
      <c r="I67">
        <v>6</v>
      </c>
      <c r="J67">
        <v>5</v>
      </c>
      <c r="K67">
        <v>5</v>
      </c>
      <c r="L67">
        <v>5</v>
      </c>
      <c r="M67">
        <v>5</v>
      </c>
      <c r="N67">
        <v>6</v>
      </c>
      <c r="O67">
        <v>5</v>
      </c>
      <c r="P67">
        <v>5</v>
      </c>
      <c r="Q67">
        <v>6</v>
      </c>
      <c r="R67">
        <v>5</v>
      </c>
      <c r="S67">
        <v>5</v>
      </c>
      <c r="T67">
        <v>5</v>
      </c>
      <c r="U67">
        <v>5</v>
      </c>
      <c r="V67">
        <v>8</v>
      </c>
      <c r="W67">
        <v>5</v>
      </c>
      <c r="X67">
        <v>7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7</v>
      </c>
      <c r="AF67">
        <v>22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6</v>
      </c>
      <c r="AM67">
        <v>5</v>
      </c>
      <c r="AN67">
        <v>5</v>
      </c>
      <c r="AO67">
        <v>6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17.5</v>
      </c>
      <c r="BA67">
        <v>6</v>
      </c>
      <c r="BB67">
        <v>5</v>
      </c>
      <c r="BC67">
        <v>5</v>
      </c>
      <c r="BD67">
        <v>5</v>
      </c>
      <c r="BE67">
        <v>5</v>
      </c>
      <c r="BF67">
        <v>5</v>
      </c>
      <c r="BG67">
        <v>6</v>
      </c>
      <c r="BH67">
        <v>5</v>
      </c>
      <c r="BI67">
        <v>5</v>
      </c>
      <c r="BJ67">
        <v>5</v>
      </c>
      <c r="BK67">
        <v>7</v>
      </c>
      <c r="BL67">
        <v>5</v>
      </c>
      <c r="BM67">
        <v>6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6</v>
      </c>
      <c r="BT67">
        <v>6</v>
      </c>
      <c r="BU67">
        <v>5</v>
      </c>
      <c r="BV67">
        <v>7</v>
      </c>
      <c r="BW67">
        <v>5</v>
      </c>
      <c r="BX67">
        <v>5</v>
      </c>
      <c r="BY67">
        <v>5</v>
      </c>
      <c r="BZ67">
        <v>5</v>
      </c>
      <c r="CA67">
        <v>5</v>
      </c>
      <c r="CB67">
        <v>5</v>
      </c>
      <c r="CC67">
        <v>6</v>
      </c>
      <c r="CD67">
        <v>5</v>
      </c>
      <c r="CE67">
        <v>5</v>
      </c>
      <c r="CF67">
        <v>5</v>
      </c>
      <c r="CG67">
        <v>7</v>
      </c>
      <c r="CH67">
        <v>5</v>
      </c>
      <c r="CI67">
        <v>6</v>
      </c>
      <c r="CJ67">
        <v>5</v>
      </c>
      <c r="CK67">
        <v>5</v>
      </c>
      <c r="CL67">
        <v>6</v>
      </c>
      <c r="CM67">
        <v>9</v>
      </c>
      <c r="CN67">
        <v>5</v>
      </c>
      <c r="CO67">
        <v>5</v>
      </c>
      <c r="CP67">
        <v>5</v>
      </c>
      <c r="CQ67">
        <v>5</v>
      </c>
      <c r="CR67">
        <v>6</v>
      </c>
      <c r="CS67">
        <v>5</v>
      </c>
      <c r="CT67">
        <v>5</v>
      </c>
      <c r="CU67">
        <v>6</v>
      </c>
      <c r="CV67">
        <v>5</v>
      </c>
      <c r="CW67">
        <v>5</v>
      </c>
      <c r="CX67">
        <v>5</v>
      </c>
      <c r="CY67">
        <v>5</v>
      </c>
      <c r="CZ67">
        <v>5</v>
      </c>
      <c r="DA67">
        <v>5</v>
      </c>
      <c r="DB67">
        <v>5</v>
      </c>
      <c r="DC67">
        <v>9</v>
      </c>
      <c r="DD67">
        <v>7</v>
      </c>
      <c r="DE67">
        <v>21.33</v>
      </c>
      <c r="DF67">
        <v>18</v>
      </c>
      <c r="DG67">
        <v>8.5</v>
      </c>
      <c r="DH67">
        <v>5</v>
      </c>
      <c r="DI67">
        <v>17.5</v>
      </c>
      <c r="DJ67">
        <v>6</v>
      </c>
      <c r="DK67">
        <v>5</v>
      </c>
      <c r="DL67">
        <v>3</v>
      </c>
      <c r="DM67">
        <v>5</v>
      </c>
      <c r="DN67">
        <v>21.5</v>
      </c>
      <c r="DO67">
        <v>5</v>
      </c>
      <c r="DP67">
        <v>14</v>
      </c>
      <c r="DQ6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37C8-0AA6-435E-A838-E74A1305CE3D}">
  <dimension ref="A1:F19"/>
  <sheetViews>
    <sheetView workbookViewId="0">
      <selection activeCell="I18" sqref="I18"/>
    </sheetView>
  </sheetViews>
  <sheetFormatPr defaultRowHeight="14.5" x14ac:dyDescent="0.35"/>
  <sheetData>
    <row r="1" spans="1:6" x14ac:dyDescent="0.35">
      <c r="A1" s="1" t="s">
        <v>71</v>
      </c>
      <c r="B1" s="1" t="s">
        <v>72</v>
      </c>
      <c r="C1" s="1" t="s">
        <v>80</v>
      </c>
      <c r="D1" s="1" t="s">
        <v>76</v>
      </c>
      <c r="E1" s="1" t="s">
        <v>73</v>
      </c>
      <c r="F1" s="1" t="s">
        <v>74</v>
      </c>
    </row>
    <row r="2" spans="1:6" x14ac:dyDescent="0.35">
      <c r="A2" t="s">
        <v>75</v>
      </c>
      <c r="B2">
        <v>1</v>
      </c>
      <c r="D2" t="s">
        <v>77</v>
      </c>
      <c r="E2" t="s">
        <v>78</v>
      </c>
      <c r="F2">
        <v>18</v>
      </c>
    </row>
    <row r="3" spans="1:6" x14ac:dyDescent="0.35">
      <c r="A3" t="s">
        <v>75</v>
      </c>
      <c r="B3">
        <v>1</v>
      </c>
      <c r="D3" t="s">
        <v>77</v>
      </c>
      <c r="E3" t="s">
        <v>79</v>
      </c>
      <c r="F3">
        <v>12</v>
      </c>
    </row>
    <row r="4" spans="1:6" x14ac:dyDescent="0.35">
      <c r="A4" t="s">
        <v>75</v>
      </c>
      <c r="B4">
        <v>1</v>
      </c>
      <c r="D4" t="s">
        <v>77</v>
      </c>
      <c r="E4" t="s">
        <v>78</v>
      </c>
      <c r="F4">
        <v>18</v>
      </c>
    </row>
    <row r="5" spans="1:6" x14ac:dyDescent="0.35">
      <c r="A5" t="s">
        <v>75</v>
      </c>
      <c r="B5">
        <v>1</v>
      </c>
      <c r="D5" t="s">
        <v>77</v>
      </c>
      <c r="E5" t="s">
        <v>79</v>
      </c>
      <c r="F5">
        <v>12</v>
      </c>
    </row>
    <row r="6" spans="1:6" x14ac:dyDescent="0.35">
      <c r="A6" t="s">
        <v>75</v>
      </c>
      <c r="B6">
        <v>1</v>
      </c>
      <c r="D6" t="s">
        <v>77</v>
      </c>
      <c r="E6" t="s">
        <v>78</v>
      </c>
      <c r="F6">
        <v>18</v>
      </c>
    </row>
    <row r="7" spans="1:6" x14ac:dyDescent="0.35">
      <c r="A7" t="s">
        <v>75</v>
      </c>
      <c r="B7">
        <v>1</v>
      </c>
      <c r="D7" t="s">
        <v>77</v>
      </c>
      <c r="E7" t="s">
        <v>79</v>
      </c>
      <c r="F7">
        <v>12</v>
      </c>
    </row>
    <row r="8" spans="1:6" x14ac:dyDescent="0.35">
      <c r="A8" t="s">
        <v>75</v>
      </c>
      <c r="B8">
        <v>1</v>
      </c>
      <c r="D8" t="s">
        <v>77</v>
      </c>
      <c r="E8" t="s">
        <v>78</v>
      </c>
      <c r="F8">
        <v>18</v>
      </c>
    </row>
    <row r="9" spans="1:6" x14ac:dyDescent="0.35">
      <c r="A9" t="s">
        <v>75</v>
      </c>
      <c r="B9">
        <v>1</v>
      </c>
      <c r="D9" t="s">
        <v>77</v>
      </c>
      <c r="E9" t="s">
        <v>79</v>
      </c>
      <c r="F9">
        <v>12</v>
      </c>
    </row>
    <row r="10" spans="1:6" x14ac:dyDescent="0.35">
      <c r="A10" t="s">
        <v>75</v>
      </c>
      <c r="B10">
        <v>1</v>
      </c>
      <c r="D10" t="s">
        <v>77</v>
      </c>
      <c r="E10" t="s">
        <v>78</v>
      </c>
      <c r="F10">
        <v>18</v>
      </c>
    </row>
    <row r="11" spans="1:6" x14ac:dyDescent="0.35">
      <c r="A11" t="s">
        <v>75</v>
      </c>
      <c r="B11">
        <v>1</v>
      </c>
      <c r="D11" t="s">
        <v>77</v>
      </c>
      <c r="E11" t="s">
        <v>79</v>
      </c>
      <c r="F11">
        <v>12</v>
      </c>
    </row>
    <row r="12" spans="1:6" x14ac:dyDescent="0.35">
      <c r="A12" t="s">
        <v>75</v>
      </c>
      <c r="B12">
        <v>1</v>
      </c>
      <c r="D12" t="s">
        <v>77</v>
      </c>
      <c r="E12" t="s">
        <v>78</v>
      </c>
      <c r="F12">
        <v>18</v>
      </c>
    </row>
    <row r="13" spans="1:6" x14ac:dyDescent="0.35">
      <c r="A13" t="s">
        <v>75</v>
      </c>
      <c r="B13">
        <v>1</v>
      </c>
      <c r="D13" t="s">
        <v>77</v>
      </c>
      <c r="E13" t="s">
        <v>79</v>
      </c>
      <c r="F13">
        <v>12</v>
      </c>
    </row>
    <row r="14" spans="1:6" x14ac:dyDescent="0.35">
      <c r="A14" t="s">
        <v>75</v>
      </c>
      <c r="B14">
        <v>1</v>
      </c>
      <c r="D14" t="s">
        <v>77</v>
      </c>
      <c r="E14" t="s">
        <v>78</v>
      </c>
      <c r="F14">
        <v>18</v>
      </c>
    </row>
    <row r="15" spans="1:6" x14ac:dyDescent="0.35">
      <c r="A15" t="s">
        <v>75</v>
      </c>
      <c r="B15">
        <v>1</v>
      </c>
      <c r="D15" t="s">
        <v>77</v>
      </c>
      <c r="E15" t="s">
        <v>79</v>
      </c>
      <c r="F15">
        <v>12</v>
      </c>
    </row>
    <row r="16" spans="1:6" x14ac:dyDescent="0.35">
      <c r="A16" t="s">
        <v>75</v>
      </c>
      <c r="B16">
        <v>1</v>
      </c>
      <c r="D16" t="s">
        <v>77</v>
      </c>
      <c r="E16" t="s">
        <v>78</v>
      </c>
      <c r="F16">
        <v>18</v>
      </c>
    </row>
    <row r="17" spans="1:6" x14ac:dyDescent="0.35">
      <c r="A17" t="s">
        <v>75</v>
      </c>
      <c r="B17">
        <v>1</v>
      </c>
      <c r="D17" t="s">
        <v>77</v>
      </c>
      <c r="E17" t="s">
        <v>79</v>
      </c>
      <c r="F17">
        <v>12</v>
      </c>
    </row>
    <row r="18" spans="1:6" x14ac:dyDescent="0.35">
      <c r="A18" t="s">
        <v>75</v>
      </c>
      <c r="B18">
        <v>1</v>
      </c>
      <c r="D18" t="s">
        <v>77</v>
      </c>
      <c r="E18" t="s">
        <v>78</v>
      </c>
      <c r="F18">
        <v>18</v>
      </c>
    </row>
    <row r="19" spans="1:6" x14ac:dyDescent="0.35">
      <c r="A19" t="s">
        <v>75</v>
      </c>
      <c r="B19">
        <v>1</v>
      </c>
      <c r="D19" t="s">
        <v>77</v>
      </c>
      <c r="E19" t="s">
        <v>79</v>
      </c>
      <c r="F1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% absent</vt:lpstr>
      <vt:lpstr>No. of DC per subplot</vt:lpstr>
      <vt:lpstr>past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tg488</dc:creator>
  <cp:lastModifiedBy>Gumbo, Tapiwa</cp:lastModifiedBy>
  <dcterms:created xsi:type="dcterms:W3CDTF">2025-03-05T13:10:50Z</dcterms:created>
  <dcterms:modified xsi:type="dcterms:W3CDTF">2025-03-14T06:53:42Z</dcterms:modified>
</cp:coreProperties>
</file>